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KPI目標実績" sheetId="2" state="visible" r:id="rId4"/>
    <sheet name="ダッシュボード" sheetId="3" state="visible" r:id="rId5"/>
    <sheet name="日次活動記録" sheetId="4" state="visible" r:id="rId6"/>
    <sheet name="週次進捗レビュー" sheetId="5" state="visible" r:id="rId7"/>
    <sheet name="資金繰り表" sheetId="6" state="visible" r:id="rId8"/>
    <sheet name="仕組化チェック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年間売上目標。自社の数値に置き換えてください。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WenQuanYi Zen Hei"/>
            <family val="2"/>
          </rPr>
          <t xml:space="preserve">↓これは記入例です。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行目以降に実データを入力してください。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期首の資金残高。自社の数値に置き換えてください。</t>
        </r>
      </text>
    </comment>
  </commentList>
</comments>
</file>

<file path=xl/sharedStrings.xml><?xml version="1.0" encoding="utf-8"?>
<sst xmlns="http://schemas.openxmlformats.org/spreadsheetml/2006/main" count="227" uniqueCount="181">
  <si>
    <r>
      <rPr>
        <b val="true"/>
        <sz val="16"/>
        <color rgb="FF1F4E78"/>
        <rFont val="WenQuanYi Zen Hei"/>
        <family val="2"/>
      </rPr>
      <t xml:space="preserve">自走型組織構築 </t>
    </r>
    <r>
      <rPr>
        <b val="true"/>
        <sz val="16"/>
        <color rgb="FF1F4E78"/>
        <rFont val="Meiryo"/>
        <family val="0"/>
        <charset val="1"/>
      </rPr>
      <t xml:space="preserve">KPI</t>
    </r>
    <r>
      <rPr>
        <b val="true"/>
        <sz val="16"/>
        <color rgb="FF1F4E78"/>
        <rFont val="WenQuanYi Zen Hei"/>
        <family val="2"/>
      </rPr>
      <t xml:space="preserve">・進捗・資金繰り 管理フォーマット</t>
    </r>
  </si>
  <si>
    <t xml:space="preserve">目的</t>
  </si>
  <si>
    <r>
      <rPr>
        <sz val="11"/>
        <color theme="1"/>
        <rFont val="WenQuanYi Zen Hei"/>
        <family val="2"/>
      </rPr>
      <t xml:space="preserve">毎日の動き・成果と仕組化の状況を記録し、進捗と今後の方向性を打ち出す。売上・利益目標を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WenQuanYi Zen Hei"/>
        <family val="2"/>
      </rPr>
      <t xml:space="preserve">化して達成率を可視化し、資金繰りまでつなげることで、メンバーが自ら考えて動く『自走型組織』の運営基盤にする。</t>
    </r>
  </si>
  <si>
    <t xml:space="preserve">運用サイクル</t>
  </si>
  <si>
    <t xml:space="preserve">毎日</t>
  </si>
  <si>
    <t xml:space="preserve">『日次活動記録』に動き・成果・数値・課題・翌日アクションを記入（各自が入力）</t>
  </si>
  <si>
    <t xml:space="preserve">毎週</t>
  </si>
  <si>
    <r>
      <rPr>
        <sz val="11"/>
        <color theme="1"/>
        <rFont val="WenQuanYi Zen Hei"/>
        <family val="2"/>
      </rPr>
      <t xml:space="preserve">『週次進捗レビュー』で目標対比・学び・改善・方向性を確認（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分のふりかえり）</t>
    </r>
  </si>
  <si>
    <t xml:space="preserve">毎月</t>
  </si>
  <si>
    <r>
      <rPr>
        <sz val="11"/>
        <color theme="1"/>
        <rFont val="WenQuanYi Zen Hei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WenQuanYi Zen Hei"/>
        <family val="2"/>
      </rPr>
      <t xml:space="preserve">目標実績』に実績を入力→『ダッシュボード』で達成率を確認→『資金繰り表』を更新</t>
    </r>
  </si>
  <si>
    <t xml:space="preserve">四半期</t>
  </si>
  <si>
    <t xml:space="preserve">『仕組化チェック』で仕組み化・権限委譲の進捗を確認し、自走化の打ち手を決める</t>
  </si>
  <si>
    <t xml:space="preserve">色の凡例</t>
  </si>
  <si>
    <t xml:space="preserve">黄色のセル</t>
  </si>
  <si>
    <t xml:space="preserve">あなたが入力する場所（目標・実績・日々の記録など）</t>
  </si>
  <si>
    <t xml:space="preserve">緑色のセル</t>
  </si>
  <si>
    <t xml:space="preserve">自動計算（合計・小計）。編集しない</t>
  </si>
  <si>
    <t xml:space="preserve">青文字</t>
  </si>
  <si>
    <t xml:space="preserve">手入力の数値</t>
  </si>
  <si>
    <t xml:space="preserve">緑文字</t>
  </si>
  <si>
    <t xml:space="preserve">他シートからの自動参照</t>
  </si>
  <si>
    <t xml:space="preserve">黒文字</t>
  </si>
  <si>
    <t xml:space="preserve">数式による計算結果</t>
  </si>
  <si>
    <t xml:space="preserve">シート構成</t>
  </si>
  <si>
    <t xml:space="preserve">ダッシュボード</t>
  </si>
  <si>
    <t xml:space="preserve">全体サマリー。売上・利益の達成率と資金残高を一目で確認</t>
  </si>
  <si>
    <r>
      <rPr>
        <b val="true"/>
        <sz val="11"/>
        <color rgb="FF000000"/>
        <rFont val="Meiryo"/>
        <family val="0"/>
        <charset val="1"/>
      </rPr>
      <t xml:space="preserve">KPI</t>
    </r>
    <r>
      <rPr>
        <b val="true"/>
        <sz val="11"/>
        <color rgb="FF000000"/>
        <rFont val="WenQuanYi Zen Hei"/>
        <family val="2"/>
      </rPr>
      <t xml:space="preserve">目標実績</t>
    </r>
  </si>
  <si>
    <r>
      <rPr>
        <sz val="11"/>
        <color theme="1"/>
        <rFont val="WenQuanYi Zen Hei"/>
        <family val="2"/>
      </rPr>
      <t xml:space="preserve">売上・利益・活動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WenQuanYi Zen Hei"/>
        <family val="2"/>
      </rPr>
      <t xml:space="preserve">の年間目標と月次実績→達成率を自動計算</t>
    </r>
  </si>
  <si>
    <t xml:space="preserve">日次活動記録</t>
  </si>
  <si>
    <t xml:space="preserve">毎日の活動・成果・数値・課題・翌日アクションを記録</t>
  </si>
  <si>
    <t xml:space="preserve">週次進捗レビュー</t>
  </si>
  <si>
    <t xml:space="preserve">週ごとの目標対比・学び・改善・方向性を記録</t>
  </si>
  <si>
    <t xml:space="preserve">資金繰り表</t>
  </si>
  <si>
    <t xml:space="preserve">月次の入出金と資金残高を管理（資金繰り）</t>
  </si>
  <si>
    <t xml:space="preserve">仕組化チェック</t>
  </si>
  <si>
    <t xml:space="preserve">仕組化・標準化・権限委譲の進捗（自走化）をチェック</t>
  </si>
  <si>
    <t xml:space="preserve">年度</t>
  </si>
  <si>
    <r>
      <rPr>
        <b val="true"/>
        <sz val="16"/>
        <color rgb="FF1F4E78"/>
        <rFont val="Meiryo"/>
        <family val="0"/>
        <charset val="1"/>
      </rPr>
      <t xml:space="preserve">KPI</t>
    </r>
    <r>
      <rPr>
        <b val="true"/>
        <sz val="16"/>
        <color rgb="FF1F4E78"/>
        <rFont val="WenQuanYi Zen Hei"/>
        <family val="2"/>
      </rPr>
      <t xml:space="preserve">目標・実績・達成率</t>
    </r>
  </si>
  <si>
    <t xml:space="preserve">年間目標を入力し、毎月の実績を記入すると、累計と達成率が自動計算されます。（黄色＝入力）</t>
  </si>
  <si>
    <t xml:space="preserve">項目</t>
  </si>
  <si>
    <t xml:space="preserve">単位</t>
  </si>
  <si>
    <t xml:space="preserve">年間目標</t>
  </si>
  <si>
    <r>
      <rPr>
        <b val="true"/>
        <sz val="11"/>
        <color rgb="FFFFFFFF"/>
        <rFont val="Meiryo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</si>
  <si>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</si>
  <si>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</si>
  <si>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7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</si>
  <si>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8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</si>
  <si>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9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</si>
  <si>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</si>
  <si>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11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</si>
  <si>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12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</si>
  <si>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</si>
  <si>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月</t>
    </r>
  </si>
  <si>
    <r>
      <rPr>
        <b val="true"/>
        <sz val="11"/>
        <color rgb="FFFFFFFF"/>
        <rFont val="Meiryo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月</t>
    </r>
  </si>
  <si>
    <t xml:space="preserve">累計実績</t>
  </si>
  <si>
    <t xml:space="preserve">達成率</t>
  </si>
  <si>
    <t xml:space="preserve">【売上・利益】</t>
  </si>
  <si>
    <t xml:space="preserve">売上高</t>
  </si>
  <si>
    <t xml:space="preserve">円</t>
  </si>
  <si>
    <t xml:space="preserve">売上原価</t>
  </si>
  <si>
    <t xml:space="preserve">売上総利益</t>
  </si>
  <si>
    <t xml:space="preserve">販売管理費</t>
  </si>
  <si>
    <t xml:space="preserve">営業利益</t>
  </si>
  <si>
    <t xml:space="preserve">営業利益率</t>
  </si>
  <si>
    <t xml:space="preserve">%</t>
  </si>
  <si>
    <r>
      <rPr>
        <b val="true"/>
        <sz val="11"/>
        <color rgb="FF1F4E78"/>
        <rFont val="WenQuanYi Zen Hei"/>
        <family val="2"/>
      </rPr>
      <t xml:space="preserve">【活動</t>
    </r>
    <r>
      <rPr>
        <b val="true"/>
        <sz val="11"/>
        <color rgb="FF1F4E78"/>
        <rFont val="Meiryo"/>
        <family val="0"/>
        <charset val="1"/>
      </rPr>
      <t xml:space="preserve">KPI</t>
    </r>
    <r>
      <rPr>
        <b val="true"/>
        <sz val="11"/>
        <color rgb="FF1F4E78"/>
        <rFont val="WenQuanYi Zen Hei"/>
        <family val="2"/>
      </rPr>
      <t xml:space="preserve">（先行指標）】</t>
    </r>
  </si>
  <si>
    <t xml:space="preserve">新規リード数</t>
  </si>
  <si>
    <t xml:space="preserve">件</t>
  </si>
  <si>
    <t xml:space="preserve">商談数</t>
  </si>
  <si>
    <t xml:space="preserve">成約数</t>
  </si>
  <si>
    <t xml:space="preserve">成約率</t>
  </si>
  <si>
    <t xml:space="preserve">客単価</t>
  </si>
  <si>
    <t xml:space="preserve">【顧客・継続】</t>
  </si>
  <si>
    <t xml:space="preserve">新規顧客数</t>
  </si>
  <si>
    <t xml:space="preserve">社</t>
  </si>
  <si>
    <t xml:space="preserve">解約数</t>
  </si>
  <si>
    <r>
      <rPr>
        <b val="true"/>
        <sz val="11"/>
        <color rgb="FF000000"/>
        <rFont val="WenQuanYi Zen Hei"/>
        <family val="2"/>
      </rPr>
      <t xml:space="preserve">顧客満足度</t>
    </r>
    <r>
      <rPr>
        <b val="true"/>
        <sz val="11"/>
        <color rgb="FF000000"/>
        <rFont val="Meiryo"/>
        <family val="0"/>
        <charset val="1"/>
      </rPr>
      <t xml:space="preserve">(NPS</t>
    </r>
    <r>
      <rPr>
        <b val="true"/>
        <sz val="11"/>
        <color rgb="FF000000"/>
        <rFont val="WenQuanYi Zen Hei"/>
        <family val="2"/>
      </rPr>
      <t xml:space="preserve">等</t>
    </r>
    <r>
      <rPr>
        <b val="true"/>
        <sz val="11"/>
        <color rgb="FF000000"/>
        <rFont val="Meiryo"/>
        <family val="0"/>
        <charset val="1"/>
      </rPr>
      <t xml:space="preserve">)</t>
    </r>
  </si>
  <si>
    <t xml:space="preserve">pt</t>
  </si>
  <si>
    <t xml:space="preserve">売上・利益（年間）</t>
  </si>
  <si>
    <t xml:space="preserve">資金の状況</t>
  </si>
  <si>
    <r>
      <rPr>
        <b val="true"/>
        <sz val="11"/>
        <color rgb="FFFFFFFF"/>
        <rFont val="WenQuanYi Zen Hei"/>
        <family val="2"/>
      </rPr>
      <t xml:space="preserve">金額</t>
    </r>
    <r>
      <rPr>
        <b val="true"/>
        <sz val="11"/>
        <color rgb="FFFFFFFF"/>
        <rFont val="Meiryo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円</t>
    </r>
    <r>
      <rPr>
        <b val="true"/>
        <sz val="11"/>
        <color rgb="FFFFFFFF"/>
        <rFont val="Meiryo"/>
        <family val="0"/>
        <charset val="1"/>
      </rPr>
      <t xml:space="preserve">)</t>
    </r>
  </si>
  <si>
    <t xml:space="preserve">期首資金残高</t>
  </si>
  <si>
    <t xml:space="preserve">期末予定資金残高</t>
  </si>
  <si>
    <t xml:space="preserve">年間営業収支</t>
  </si>
  <si>
    <t xml:space="preserve">最低月末残高</t>
  </si>
  <si>
    <t xml:space="preserve">※ 最低月末残高がマイナスの月は資金ショートの恐れ</t>
  </si>
  <si>
    <t xml:space="preserve">今後の方向性・重点アクション（毎月更新）</t>
  </si>
  <si>
    <t xml:space="preserve">・
・
・</t>
  </si>
  <si>
    <t xml:space="preserve">毎日、その日の動き・成果・数値・課題・翌日アクションを記入（各自入力・黄色）</t>
  </si>
  <si>
    <t xml:space="preserve">日付</t>
  </si>
  <si>
    <t xml:space="preserve">担当者</t>
  </si>
  <si>
    <t xml:space="preserve">主な活動・動き</t>
  </si>
  <si>
    <t xml:space="preserve">成果・アウトプット</t>
  </si>
  <si>
    <r>
      <rPr>
        <b val="true"/>
        <sz val="11"/>
        <color rgb="FFFFFFFF"/>
        <rFont val="WenQuanYi Zen Hei"/>
        <family val="2"/>
      </rPr>
      <t xml:space="preserve">重要数値
</t>
    </r>
    <r>
      <rPr>
        <b val="true"/>
        <sz val="11"/>
        <color rgb="FFFFFFFF"/>
        <rFont val="Meiryo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件数</t>
    </r>
    <r>
      <rPr>
        <b val="true"/>
        <sz val="11"/>
        <color rgb="FFFFFFFF"/>
        <rFont val="Meiryo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金額</t>
    </r>
    <r>
      <rPr>
        <b val="true"/>
        <sz val="11"/>
        <color rgb="FFFFFFFF"/>
        <rFont val="Meiryo"/>
        <family val="0"/>
        <charset val="1"/>
      </rPr>
      <t xml:space="preserve">)</t>
    </r>
  </si>
  <si>
    <t xml:space="preserve">課題・つまづき</t>
  </si>
  <si>
    <t xml:space="preserve">明日のアクション</t>
  </si>
  <si>
    <t xml:space="preserve">2026/04/01</t>
  </si>
  <si>
    <t xml:space="preserve">山田</t>
  </si>
  <si>
    <r>
      <rPr>
        <sz val="10"/>
        <color rgb="FF808080"/>
        <rFont val="WenQuanYi Zen Hei"/>
        <family val="2"/>
      </rPr>
      <t xml:space="preserve">新規リード</t>
    </r>
    <r>
      <rPr>
        <sz val="10"/>
        <color rgb="FF808080"/>
        <rFont val="Meiryo"/>
        <family val="0"/>
        <charset val="1"/>
      </rPr>
      <t xml:space="preserve">20</t>
    </r>
    <r>
      <rPr>
        <sz val="10"/>
        <color rgb="FF808080"/>
        <rFont val="WenQuanYi Zen Hei"/>
        <family val="2"/>
      </rPr>
      <t xml:space="preserve">件へアプローチ／既存</t>
    </r>
    <r>
      <rPr>
        <sz val="10"/>
        <color rgb="FF808080"/>
        <rFont val="Meiryo"/>
        <family val="0"/>
        <charset val="1"/>
      </rPr>
      <t xml:space="preserve">A</t>
    </r>
    <r>
      <rPr>
        <sz val="10"/>
        <color rgb="FF808080"/>
        <rFont val="WenQuanYi Zen Hei"/>
        <family val="2"/>
      </rPr>
      <t xml:space="preserve">社と面談</t>
    </r>
  </si>
  <si>
    <r>
      <rPr>
        <sz val="10"/>
        <color rgb="FF808080"/>
        <rFont val="Meiryo"/>
        <family val="0"/>
        <charset val="1"/>
      </rPr>
      <t xml:space="preserve">A</t>
    </r>
    <r>
      <rPr>
        <sz val="10"/>
        <color rgb="FF808080"/>
        <rFont val="WenQuanYi Zen Hei"/>
        <family val="2"/>
      </rPr>
      <t xml:space="preserve">社が次回デモ確約・見込み</t>
    </r>
    <r>
      <rPr>
        <sz val="10"/>
        <color rgb="FF808080"/>
        <rFont val="Meiryo"/>
        <family val="0"/>
        <charset val="1"/>
      </rPr>
      <t xml:space="preserve">80</t>
    </r>
    <r>
      <rPr>
        <sz val="10"/>
        <color rgb="FF808080"/>
        <rFont val="WenQuanYi Zen Hei"/>
        <family val="2"/>
      </rPr>
      <t xml:space="preserve">万</t>
    </r>
  </si>
  <si>
    <r>
      <rPr>
        <sz val="10"/>
        <color rgb="FF808080"/>
        <rFont val="WenQuanYi Zen Hei"/>
        <family val="2"/>
      </rPr>
      <t xml:space="preserve">架電</t>
    </r>
    <r>
      <rPr>
        <sz val="10"/>
        <color rgb="FF808080"/>
        <rFont val="Meiryo"/>
        <family val="0"/>
        <charset val="1"/>
      </rPr>
      <t xml:space="preserve">15</t>
    </r>
    <r>
      <rPr>
        <sz val="10"/>
        <color rgb="FF808080"/>
        <rFont val="WenQuanYi Zen Hei"/>
        <family val="2"/>
      </rPr>
      <t xml:space="preserve">件</t>
    </r>
  </si>
  <si>
    <r>
      <rPr>
        <sz val="10"/>
        <color rgb="FF808080"/>
        <rFont val="Meiryo"/>
        <family val="0"/>
        <charset val="1"/>
      </rPr>
      <t xml:space="preserve">B</t>
    </r>
    <r>
      <rPr>
        <sz val="10"/>
        <color rgb="FF808080"/>
        <rFont val="WenQuanYi Zen Hei"/>
        <family val="2"/>
      </rPr>
      <t xml:space="preserve">社の返信が遅い</t>
    </r>
  </si>
  <si>
    <r>
      <rPr>
        <sz val="10"/>
        <color rgb="FF808080"/>
        <rFont val="Meiryo"/>
        <family val="0"/>
        <charset val="1"/>
      </rPr>
      <t xml:space="preserve">B</t>
    </r>
    <r>
      <rPr>
        <sz val="10"/>
        <color rgb="FF808080"/>
        <rFont val="WenQuanYi Zen Hei"/>
        <family val="2"/>
      </rPr>
      <t xml:space="preserve">社へ再連絡・提案書修正</t>
    </r>
  </si>
  <si>
    <t xml:space="preserve">週ごとの目標対比と学び・改善・方向性を記録。達成率は自動計算（黄色＝入力）</t>
  </si>
  <si>
    <r>
      <rPr>
        <b val="true"/>
        <sz val="11"/>
        <color rgb="FFFFFFFF"/>
        <rFont val="WenQuanYi Zen Hei"/>
        <family val="2"/>
      </rPr>
      <t xml:space="preserve">週
</t>
    </r>
    <r>
      <rPr>
        <b val="true"/>
        <sz val="11"/>
        <color rgb="FFFFFFFF"/>
        <rFont val="Meiryo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開始日</t>
    </r>
    <r>
      <rPr>
        <b val="true"/>
        <sz val="11"/>
        <color rgb="FFFFFFFF"/>
        <rFont val="Meiryo"/>
        <family val="0"/>
        <charset val="1"/>
      </rPr>
      <t xml:space="preserve">)</t>
    </r>
  </si>
  <si>
    <t xml:space="preserve">重点テーマ</t>
  </si>
  <si>
    <r>
      <rPr>
        <b val="true"/>
        <sz val="11"/>
        <color rgb="FFFFFFFF"/>
        <rFont val="WenQuanYi Zen Hei"/>
        <family val="2"/>
      </rPr>
      <t xml:space="preserve">今週の目標
</t>
    </r>
    <r>
      <rPr>
        <b val="true"/>
        <sz val="11"/>
        <color rgb="FFFFFFFF"/>
        <rFont val="Meiryo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数値</t>
    </r>
    <r>
      <rPr>
        <b val="true"/>
        <sz val="11"/>
        <color rgb="FFFFFFFF"/>
        <rFont val="Meiryo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</si>
  <si>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実績
</t>
    </r>
    <r>
      <rPr>
        <b val="true"/>
        <sz val="11"/>
        <color rgb="FFFFFFFF"/>
        <rFont val="Meiryo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数値</t>
    </r>
    <r>
      <rPr>
        <b val="true"/>
        <sz val="11"/>
        <color rgb="FFFFFFFF"/>
        <rFont val="Meiryo"/>
        <family val="0"/>
        <charset val="1"/>
      </rPr>
      <t xml:space="preserve">)</t>
    </r>
  </si>
  <si>
    <t xml:space="preserve">うまくいった事</t>
  </si>
  <si>
    <t xml:space="preserve">課題・学び</t>
  </si>
  <si>
    <t xml:space="preserve">来週の改善
アクション</t>
  </si>
  <si>
    <t xml:space="preserve">方向性メモ</t>
  </si>
  <si>
    <t xml:space="preserve">2026/04/06</t>
  </si>
  <si>
    <t xml:space="preserve">新規開拓強化</t>
  </si>
  <si>
    <t xml:space="preserve">面談数が過去最高</t>
  </si>
  <si>
    <t xml:space="preserve">提案の質にばらつき</t>
  </si>
  <si>
    <t xml:space="preserve">トークスクリプト整備</t>
  </si>
  <si>
    <t xml:space="preserve">開拓チームに権限委譲を検討</t>
  </si>
  <si>
    <t xml:space="preserve">資金繰り表（月次）</t>
  </si>
  <si>
    <t xml:space="preserve">月初残高・入出金を入力すると、営業収支・翌月繰越・資金残高が自動計算されます（黄色＝入力）</t>
  </si>
  <si>
    <t xml:space="preserve">年間合計</t>
  </si>
  <si>
    <t xml:space="preserve">前月繰越（月初資金）</t>
  </si>
  <si>
    <t xml:space="preserve">【営業収入】</t>
  </si>
  <si>
    <t xml:space="preserve">現金売上</t>
  </si>
  <si>
    <t xml:space="preserve">売掛金回収</t>
  </si>
  <si>
    <t xml:space="preserve">その他営業収入</t>
  </si>
  <si>
    <t xml:space="preserve">営業収入 合計</t>
  </si>
  <si>
    <t xml:space="preserve">【営業支出】</t>
  </si>
  <si>
    <t xml:space="preserve">仕入・外注費</t>
  </si>
  <si>
    <t xml:space="preserve">人件費</t>
  </si>
  <si>
    <t xml:space="preserve">家賃・地代</t>
  </si>
  <si>
    <t xml:space="preserve">その他経費</t>
  </si>
  <si>
    <t xml:space="preserve">税金・社会保険</t>
  </si>
  <si>
    <t xml:space="preserve">営業支出 合計</t>
  </si>
  <si>
    <r>
      <rPr>
        <b val="true"/>
        <sz val="11"/>
        <color rgb="FF000000"/>
        <rFont val="WenQuanYi Zen Hei"/>
        <family val="2"/>
      </rPr>
      <t xml:space="preserve">営業収支（収入</t>
    </r>
    <r>
      <rPr>
        <b val="true"/>
        <sz val="11"/>
        <color rgb="FF000000"/>
        <rFont val="Meiryo"/>
        <family val="0"/>
        <charset val="1"/>
      </rPr>
      <t xml:space="preserve">-</t>
    </r>
    <r>
      <rPr>
        <b val="true"/>
        <sz val="11"/>
        <color rgb="FF000000"/>
        <rFont val="WenQuanYi Zen Hei"/>
        <family val="2"/>
      </rPr>
      <t xml:space="preserve">支出）</t>
    </r>
  </si>
  <si>
    <t xml:space="preserve">【財務・投資】</t>
  </si>
  <si>
    <t xml:space="preserve">借入金（入金）</t>
  </si>
  <si>
    <t xml:space="preserve">借入返済（出金）</t>
  </si>
  <si>
    <t xml:space="preserve">設備投資等（出金）</t>
  </si>
  <si>
    <t xml:space="preserve">財務・投資 収支</t>
  </si>
  <si>
    <t xml:space="preserve">当月収支合計</t>
  </si>
  <si>
    <t xml:space="preserve">翌月繰越（月末資金）</t>
  </si>
  <si>
    <t xml:space="preserve">仕組化・自走化チェック</t>
  </si>
  <si>
    <t xml:space="preserve">業務の標準化・マニュアル化・権限委譲の進捗を管理。進捗率は自動集計（黄色＝入力）</t>
  </si>
  <si>
    <t xml:space="preserve">領域</t>
  </si>
  <si>
    <t xml:space="preserve">仕組化する項目</t>
  </si>
  <si>
    <t xml:space="preserve">担当</t>
  </si>
  <si>
    <t xml:space="preserve">状態</t>
  </si>
  <si>
    <t xml:space="preserve">進捗率</t>
  </si>
  <si>
    <t xml:space="preserve">期限</t>
  </si>
  <si>
    <t xml:space="preserve">メモ・次の一手</t>
  </si>
  <si>
    <t xml:space="preserve">営業</t>
  </si>
  <si>
    <t xml:space="preserve">営業トークスクリプト・提案書テンプレの標準化</t>
  </si>
  <si>
    <t xml:space="preserve">進行中</t>
  </si>
  <si>
    <t xml:space="preserve">2026/06/30</t>
  </si>
  <si>
    <t xml:space="preserve">属人化の解消。まず売上上位者の型を言語化</t>
  </si>
  <si>
    <t xml:space="preserve">顧客管理・商談パイプラインの見える化</t>
  </si>
  <si>
    <t xml:space="preserve">未着手</t>
  </si>
  <si>
    <t xml:space="preserve">2026/07/31</t>
  </si>
  <si>
    <t xml:space="preserve">マーケ</t>
  </si>
  <si>
    <t xml:space="preserve">リード獲得〜育成の仕組み化</t>
  </si>
  <si>
    <t xml:space="preserve">2026/09/30</t>
  </si>
  <si>
    <t xml:space="preserve">業務</t>
  </si>
  <si>
    <t xml:space="preserve">定型業務のマニュアル化・チェックリスト</t>
  </si>
  <si>
    <t xml:space="preserve">2026/08/31</t>
  </si>
  <si>
    <r>
      <rPr>
        <sz val="11"/>
        <color rgb="FF0000FF"/>
        <rFont val="WenQuanYi Zen Hei"/>
        <family val="2"/>
      </rPr>
      <t xml:space="preserve">入社</t>
    </r>
    <r>
      <rPr>
        <sz val="11"/>
        <color rgb="FF0000FF"/>
        <rFont val="Meiryo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週間で回せる状態が目標</t>
    </r>
  </si>
  <si>
    <t xml:space="preserve">日次・週次の報告フォーマット統一</t>
  </si>
  <si>
    <t xml:space="preserve">完了</t>
  </si>
  <si>
    <t xml:space="preserve">2026/04/30</t>
  </si>
  <si>
    <t xml:space="preserve">本フォーマットで運用開始</t>
  </si>
  <si>
    <t xml:space="preserve">組織</t>
  </si>
  <si>
    <t xml:space="preserve">役割分担・権限委譲ルールの明文化</t>
  </si>
  <si>
    <t xml:space="preserve">2026/10/31</t>
  </si>
  <si>
    <t xml:space="preserve">自走化の要。決裁範囲を定義</t>
  </si>
  <si>
    <r>
      <rPr>
        <sz val="11"/>
        <color rgb="FF0000FF"/>
        <rFont val="Meiryo"/>
        <family val="0"/>
        <charset val="1"/>
      </rPr>
      <t xml:space="preserve">KPI</t>
    </r>
    <r>
      <rPr>
        <sz val="11"/>
        <color rgb="FF0000FF"/>
        <rFont val="WenQuanYi Zen Hei"/>
        <family val="2"/>
      </rPr>
      <t xml:space="preserve">連動の評価・振り返りの仕組み</t>
    </r>
  </si>
  <si>
    <t xml:space="preserve">数値</t>
  </si>
  <si>
    <r>
      <rPr>
        <sz val="11"/>
        <color rgb="FF0000FF"/>
        <rFont val="WenQuanYi Zen Hei"/>
        <family val="2"/>
      </rPr>
      <t xml:space="preserve">月次で</t>
    </r>
    <r>
      <rPr>
        <sz val="11"/>
        <color rgb="FF0000FF"/>
        <rFont val="Meiryo"/>
        <family val="0"/>
        <charset val="1"/>
      </rPr>
      <t xml:space="preserve">KPI</t>
    </r>
    <r>
      <rPr>
        <sz val="11"/>
        <color rgb="FF0000FF"/>
        <rFont val="WenQuanYi Zen Hei"/>
        <family val="2"/>
      </rPr>
      <t xml:space="preserve">・資金繰りをレビューする会議体</t>
    </r>
  </si>
  <si>
    <t xml:space="preserve">2026/05/31</t>
  </si>
  <si>
    <t xml:space="preserve">本ツールを用いた月次会議を定例化</t>
  </si>
  <si>
    <t xml:space="preserve">全体進捗（平均）</t>
  </si>
  <si>
    <t xml:space="preserve">完了項目数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</si>
</sst>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&quot;年度（4月〜翌3月）&quot;"/>
    <numFmt numFmtId="166" formatCode="#,##0;\(#,##0\);\-"/>
    <numFmt numFmtId="167" formatCode="0.0%;\(0.0%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WenQuanYi Zen Hei"/>
      <family val="2"/>
    </font>
    <font>
      <b val="true"/>
      <sz val="16"/>
      <color rgb="FF1F4E78"/>
      <name val="Meiryo"/>
      <family val="0"/>
      <charset val="1"/>
    </font>
    <font>
      <b val="true"/>
      <sz val="12"/>
      <color rgb="FF1F4E78"/>
      <name val="WenQuanYi Zen Hei"/>
      <family val="2"/>
    </font>
    <font>
      <sz val="11"/>
      <color theme="1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FF"/>
      <name val="WenQuanYi Zen Hei"/>
      <family val="2"/>
    </font>
    <font>
      <b val="true"/>
      <sz val="11"/>
      <color rgb="FF008000"/>
      <name val="WenQuanYi Zen Hei"/>
      <family val="2"/>
    </font>
    <font>
      <b val="true"/>
      <sz val="11"/>
      <color rgb="FF000000"/>
      <name val="Meiryo"/>
      <family val="0"/>
      <charset val="1"/>
    </font>
    <font>
      <b val="true"/>
      <sz val="11"/>
      <color rgb="FF0000FF"/>
      <name val="Meiryo"/>
      <family val="0"/>
      <charset val="1"/>
    </font>
    <font>
      <sz val="11"/>
      <color rgb="FF808080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Meiryo"/>
      <family val="0"/>
      <charset val="1"/>
    </font>
    <font>
      <b val="true"/>
      <sz val="11"/>
      <color rgb="FF1F4E78"/>
      <name val="WenQuanYi Zen Hei"/>
      <family val="2"/>
    </font>
    <font>
      <sz val="11"/>
      <color rgb="FF000000"/>
      <name val="WenQuanYi Zen Hei"/>
      <family val="2"/>
    </font>
    <font>
      <sz val="11"/>
      <color rgb="FF0000FF"/>
      <name val="Meiryo"/>
      <family val="0"/>
      <charset val="1"/>
    </font>
    <font>
      <sz val="11"/>
      <color rgb="FF000000"/>
      <name val="Meiryo"/>
      <family val="0"/>
      <charset val="1"/>
    </font>
    <font>
      <b val="true"/>
      <sz val="11"/>
      <color rgb="FF1F4E78"/>
      <name val="Meiryo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sz val="11"/>
      <color rgb="FF008000"/>
      <name val="Meiryo"/>
      <family val="0"/>
      <charset val="1"/>
    </font>
    <font>
      <b val="true"/>
      <sz val="11"/>
      <color rgb="FF008000"/>
      <name val="Meiryo"/>
      <family val="0"/>
      <charset val="1"/>
    </font>
    <font>
      <sz val="9"/>
      <color rgb="FFC00000"/>
      <name val="WenQuanYi Zen Hei"/>
      <family val="2"/>
    </font>
    <font>
      <sz val="11"/>
      <color rgb="FF0000FF"/>
      <name val="WenQuanYi Zen Hei"/>
      <family val="2"/>
    </font>
    <font>
      <sz val="10"/>
      <color rgb="FF808080"/>
      <name val="Meiryo"/>
      <family val="0"/>
      <charset val="1"/>
    </font>
    <font>
      <sz val="10"/>
      <color rgb="FF808080"/>
      <name val="WenQuanYi Zen Hei"/>
      <family val="2"/>
    </font>
    <font>
      <b val="true"/>
      <sz val="11"/>
      <color rgb="FF808080"/>
      <name val="Meiry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FF8E1"/>
      </patternFill>
    </fill>
    <fill>
      <patternFill patternType="solid">
        <fgColor rgb="FFE2EFDA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8E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2" customFormat="false" ht="20.85" hidden="false" customHeight="false" outlineLevel="0" collapsed="false">
      <c r="B2" s="1" t="s">
        <v>0</v>
      </c>
      <c r="C2" s="1"/>
    </row>
    <row r="4" customFormat="false" ht="41.75" hidden="false" customHeight="false" outlineLevel="0" collapsed="false">
      <c r="B4" s="2" t="s">
        <v>1</v>
      </c>
      <c r="C4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4" t="s">
        <v>4</v>
      </c>
      <c r="C7" s="5" t="s">
        <v>5</v>
      </c>
    </row>
    <row r="8" customFormat="false" ht="15" hidden="false" customHeight="false" outlineLevel="0" collapsed="false">
      <c r="B8" s="4" t="s">
        <v>6</v>
      </c>
      <c r="C8" s="5" t="s">
        <v>7</v>
      </c>
    </row>
    <row r="9" customFormat="false" ht="15" hidden="false" customHeight="false" outlineLevel="0" collapsed="false">
      <c r="B9" s="4" t="s">
        <v>8</v>
      </c>
      <c r="C9" s="5" t="s">
        <v>9</v>
      </c>
    </row>
    <row r="10" customFormat="false" ht="15" hidden="false" customHeight="false" outlineLevel="0" collapsed="false">
      <c r="B10" s="4" t="s">
        <v>10</v>
      </c>
      <c r="C10" s="5" t="s">
        <v>11</v>
      </c>
    </row>
    <row r="12" customFormat="false" ht="15" hidden="false" customHeight="false" outlineLevel="0" collapsed="false">
      <c r="B12" s="2" t="s">
        <v>12</v>
      </c>
    </row>
    <row r="13" customFormat="false" ht="15" hidden="false" customHeight="false" outlineLevel="0" collapsed="false">
      <c r="B13" s="6" t="s">
        <v>13</v>
      </c>
      <c r="C13" s="5" t="s">
        <v>14</v>
      </c>
    </row>
    <row r="14" customFormat="false" ht="15" hidden="false" customHeight="false" outlineLevel="0" collapsed="false">
      <c r="B14" s="7" t="s">
        <v>15</v>
      </c>
      <c r="C14" s="5" t="s">
        <v>16</v>
      </c>
    </row>
    <row r="15" customFormat="false" ht="15" hidden="false" customHeight="false" outlineLevel="0" collapsed="false">
      <c r="B15" s="8" t="s">
        <v>17</v>
      </c>
      <c r="C15" s="5" t="s">
        <v>18</v>
      </c>
    </row>
    <row r="16" customFormat="false" ht="15" hidden="false" customHeight="false" outlineLevel="0" collapsed="false">
      <c r="B16" s="9" t="s">
        <v>19</v>
      </c>
      <c r="C16" s="5" t="s">
        <v>20</v>
      </c>
    </row>
    <row r="17" customFormat="false" ht="15" hidden="false" customHeight="false" outlineLevel="0" collapsed="false">
      <c r="B17" s="10" t="s">
        <v>21</v>
      </c>
      <c r="C17" s="5" t="s">
        <v>22</v>
      </c>
    </row>
    <row r="19" customFormat="false" ht="15" hidden="false" customHeight="false" outlineLevel="0" collapsed="false">
      <c r="B19" s="2" t="s">
        <v>23</v>
      </c>
    </row>
    <row r="20" customFormat="false" ht="15" hidden="false" customHeight="false" outlineLevel="0" collapsed="false">
      <c r="B20" s="4" t="s">
        <v>24</v>
      </c>
      <c r="C20" s="5" t="s">
        <v>25</v>
      </c>
    </row>
    <row r="21" customFormat="false" ht="15" hidden="false" customHeight="false" outlineLevel="0" collapsed="false">
      <c r="B21" s="11" t="s">
        <v>26</v>
      </c>
      <c r="C21" s="5" t="s">
        <v>27</v>
      </c>
    </row>
    <row r="22" customFormat="false" ht="15" hidden="false" customHeight="false" outlineLevel="0" collapsed="false">
      <c r="B22" s="4" t="s">
        <v>28</v>
      </c>
      <c r="C22" s="5" t="s">
        <v>29</v>
      </c>
    </row>
    <row r="23" customFormat="false" ht="15" hidden="false" customHeight="false" outlineLevel="0" collapsed="false">
      <c r="B23" s="4" t="s">
        <v>30</v>
      </c>
      <c r="C23" s="5" t="s">
        <v>31</v>
      </c>
    </row>
    <row r="24" customFormat="false" ht="15" hidden="false" customHeight="false" outlineLevel="0" collapsed="false">
      <c r="B24" s="4" t="s">
        <v>32</v>
      </c>
      <c r="C24" s="5" t="s">
        <v>33</v>
      </c>
    </row>
    <row r="25" customFormat="false" ht="15" hidden="false" customHeight="false" outlineLevel="0" collapsed="false">
      <c r="B25" s="4" t="s">
        <v>34</v>
      </c>
      <c r="C25" s="5" t="s">
        <v>35</v>
      </c>
    </row>
    <row r="27" customFormat="false" ht="15" hidden="false" customHeight="false" outlineLevel="0" collapsed="false">
      <c r="B27" s="6" t="s">
        <v>36</v>
      </c>
      <c r="C27" s="12" t="n">
        <v>2026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15" min="4" style="0" width="9"/>
    <col collapsed="false" customWidth="true" hidden="false" outlineLevel="0" max="16" min="16" style="0" width="13"/>
    <col collapsed="false" customWidth="true" hidden="false" outlineLevel="0" max="17" min="17" style="0" width="11"/>
  </cols>
  <sheetData>
    <row r="1" customFormat="false" ht="20.85" hidden="false" customHeight="false" outlineLevel="0" collapsed="false">
      <c r="A1" s="13" t="s">
        <v>37</v>
      </c>
    </row>
    <row r="2" customFormat="false" ht="15" hidden="false" customHeight="false" outlineLevel="0" collapsed="false">
      <c r="A2" s="14" t="s">
        <v>38</v>
      </c>
    </row>
    <row r="3" customFormat="false" ht="15" hidden="false" customHeight="false" outlineLevel="0" collapsed="false">
      <c r="A3" s="15" t="s">
        <v>39</v>
      </c>
      <c r="B3" s="15" t="s">
        <v>40</v>
      </c>
      <c r="C3" s="15" t="s">
        <v>41</v>
      </c>
      <c r="D3" s="16" t="s">
        <v>42</v>
      </c>
      <c r="E3" s="16" t="s">
        <v>43</v>
      </c>
      <c r="F3" s="16" t="s">
        <v>44</v>
      </c>
      <c r="G3" s="16" t="s">
        <v>45</v>
      </c>
      <c r="H3" s="16" t="s">
        <v>46</v>
      </c>
      <c r="I3" s="16" t="s">
        <v>47</v>
      </c>
      <c r="J3" s="16" t="s">
        <v>48</v>
      </c>
      <c r="K3" s="16" t="s">
        <v>49</v>
      </c>
      <c r="L3" s="16" t="s">
        <v>50</v>
      </c>
      <c r="M3" s="16" t="s">
        <v>51</v>
      </c>
      <c r="N3" s="16" t="s">
        <v>52</v>
      </c>
      <c r="O3" s="16" t="s">
        <v>53</v>
      </c>
      <c r="P3" s="15" t="s">
        <v>54</v>
      </c>
      <c r="Q3" s="15" t="s">
        <v>55</v>
      </c>
    </row>
    <row r="4" customFormat="false" ht="15" hidden="false" customHeight="false" outlineLevel="0" collapsed="false">
      <c r="A4" s="17" t="s">
        <v>56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customFormat="false" ht="15" hidden="false" customHeight="false" outlineLevel="0" collapsed="false">
      <c r="A5" s="19" t="s">
        <v>57</v>
      </c>
      <c r="B5" s="20" t="s">
        <v>58</v>
      </c>
      <c r="C5" s="21" t="n">
        <v>120000000</v>
      </c>
      <c r="D5" s="21" t="n">
        <v>8500000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 t="n">
        <f aca="false">SUM(D5:O5)</f>
        <v>8500000</v>
      </c>
      <c r="Q5" s="23" t="n">
        <f aca="false">IFERROR($P5/$C5,"")</f>
        <v>0.0708333333333333</v>
      </c>
    </row>
    <row r="6" customFormat="false" ht="15" hidden="false" customHeight="false" outlineLevel="0" collapsed="false">
      <c r="A6" s="19" t="s">
        <v>59</v>
      </c>
      <c r="B6" s="20" t="s">
        <v>58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 t="n">
        <f aca="false">SUM(D6:O6)</f>
        <v>0</v>
      </c>
      <c r="Q6" s="23" t="str">
        <f aca="false">IFERROR($P6/$C6,"")</f>
        <v/>
      </c>
    </row>
    <row r="7" customFormat="false" ht="15" hidden="false" customHeight="false" outlineLevel="0" collapsed="false">
      <c r="A7" s="19" t="s">
        <v>60</v>
      </c>
      <c r="B7" s="20" t="s">
        <v>58</v>
      </c>
      <c r="C7" s="24" t="n">
        <f aca="false">C5-C6</f>
        <v>120000000</v>
      </c>
      <c r="D7" s="24" t="n">
        <f aca="false">D5-D6</f>
        <v>8500000</v>
      </c>
      <c r="E7" s="24" t="n">
        <f aca="false">E5-E6</f>
        <v>0</v>
      </c>
      <c r="F7" s="24" t="n">
        <f aca="false">F5-F6</f>
        <v>0</v>
      </c>
      <c r="G7" s="24" t="n">
        <f aca="false">G5-G6</f>
        <v>0</v>
      </c>
      <c r="H7" s="24" t="n">
        <f aca="false">H5-H6</f>
        <v>0</v>
      </c>
      <c r="I7" s="24" t="n">
        <f aca="false">I5-I6</f>
        <v>0</v>
      </c>
      <c r="J7" s="24" t="n">
        <f aca="false">J5-J6</f>
        <v>0</v>
      </c>
      <c r="K7" s="24" t="n">
        <f aca="false">K5-K6</f>
        <v>0</v>
      </c>
      <c r="L7" s="24" t="n">
        <f aca="false">L5-L6</f>
        <v>0</v>
      </c>
      <c r="M7" s="24" t="n">
        <f aca="false">M5-M6</f>
        <v>0</v>
      </c>
      <c r="N7" s="24" t="n">
        <f aca="false">N5-N6</f>
        <v>0</v>
      </c>
      <c r="O7" s="24" t="n">
        <f aca="false">O5-O6</f>
        <v>0</v>
      </c>
      <c r="P7" s="22" t="n">
        <f aca="false">SUM(D7:O7)</f>
        <v>8500000</v>
      </c>
      <c r="Q7" s="23" t="n">
        <f aca="false">IFERROR($P7/$C7,"")</f>
        <v>0.0708333333333333</v>
      </c>
    </row>
    <row r="8" customFormat="false" ht="15" hidden="false" customHeight="false" outlineLevel="0" collapsed="false">
      <c r="A8" s="19" t="s">
        <v>61</v>
      </c>
      <c r="B8" s="20" t="s">
        <v>58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 t="n">
        <f aca="false">SUM(D8:O8)</f>
        <v>0</v>
      </c>
      <c r="Q8" s="23" t="str">
        <f aca="false">IFERROR($P8/$C8,"")</f>
        <v/>
      </c>
    </row>
    <row r="9" customFormat="false" ht="15" hidden="false" customHeight="false" outlineLevel="0" collapsed="false">
      <c r="A9" s="19" t="s">
        <v>62</v>
      </c>
      <c r="B9" s="20" t="s">
        <v>58</v>
      </c>
      <c r="C9" s="24" t="n">
        <f aca="false">C7-C8</f>
        <v>120000000</v>
      </c>
      <c r="D9" s="24" t="n">
        <f aca="false">D7-D8</f>
        <v>8500000</v>
      </c>
      <c r="E9" s="24" t="n">
        <f aca="false">E7-E8</f>
        <v>0</v>
      </c>
      <c r="F9" s="24" t="n">
        <f aca="false">F7-F8</f>
        <v>0</v>
      </c>
      <c r="G9" s="24" t="n">
        <f aca="false">G7-G8</f>
        <v>0</v>
      </c>
      <c r="H9" s="24" t="n">
        <f aca="false">H7-H8</f>
        <v>0</v>
      </c>
      <c r="I9" s="24" t="n">
        <f aca="false">I7-I8</f>
        <v>0</v>
      </c>
      <c r="J9" s="24" t="n">
        <f aca="false">J7-J8</f>
        <v>0</v>
      </c>
      <c r="K9" s="24" t="n">
        <f aca="false">K7-K8</f>
        <v>0</v>
      </c>
      <c r="L9" s="24" t="n">
        <f aca="false">L7-L8</f>
        <v>0</v>
      </c>
      <c r="M9" s="24" t="n">
        <f aca="false">M7-M8</f>
        <v>0</v>
      </c>
      <c r="N9" s="24" t="n">
        <f aca="false">N7-N8</f>
        <v>0</v>
      </c>
      <c r="O9" s="24" t="n">
        <f aca="false">O7-O8</f>
        <v>0</v>
      </c>
      <c r="P9" s="22" t="n">
        <f aca="false">SUM(D9:O9)</f>
        <v>8500000</v>
      </c>
      <c r="Q9" s="23" t="n">
        <f aca="false">IFERROR($P9/$C9,"")</f>
        <v>0.0708333333333333</v>
      </c>
    </row>
    <row r="10" customFormat="false" ht="15" hidden="false" customHeight="false" outlineLevel="0" collapsed="false">
      <c r="A10" s="19" t="s">
        <v>63</v>
      </c>
      <c r="B10" s="25" t="s">
        <v>64</v>
      </c>
      <c r="C10" s="26" t="n">
        <f aca="false">IFERROR(C9/C5,"")</f>
        <v>1</v>
      </c>
      <c r="D10" s="26" t="n">
        <f aca="false">IFERROR(D9/D5,"")</f>
        <v>1</v>
      </c>
      <c r="E10" s="26" t="str">
        <f aca="false">IFERROR(E9/E5,"")</f>
        <v/>
      </c>
      <c r="F10" s="26" t="str">
        <f aca="false">IFERROR(F9/F5,"")</f>
        <v/>
      </c>
      <c r="G10" s="26" t="str">
        <f aca="false">IFERROR(G9/G5,"")</f>
        <v/>
      </c>
      <c r="H10" s="26" t="str">
        <f aca="false">IFERROR(H9/H5,"")</f>
        <v/>
      </c>
      <c r="I10" s="26" t="str">
        <f aca="false">IFERROR(I9/I5,"")</f>
        <v/>
      </c>
      <c r="J10" s="26" t="str">
        <f aca="false">IFERROR(J9/J5,"")</f>
        <v/>
      </c>
      <c r="K10" s="26" t="str">
        <f aca="false">IFERROR(K9/K5,"")</f>
        <v/>
      </c>
      <c r="L10" s="26" t="str">
        <f aca="false">IFERROR(L9/L5,"")</f>
        <v/>
      </c>
      <c r="M10" s="26" t="str">
        <f aca="false">IFERROR(M9/M5,"")</f>
        <v/>
      </c>
      <c r="N10" s="26" t="str">
        <f aca="false">IFERROR(N9/N5,"")</f>
        <v/>
      </c>
      <c r="O10" s="26" t="str">
        <f aca="false">IFERROR(O9/O5,"")</f>
        <v/>
      </c>
      <c r="P10" s="23" t="n">
        <f aca="false">IFERROR($P9/$P5,"")</f>
        <v>1</v>
      </c>
      <c r="Q10" s="23" t="n">
        <f aca="false">IFERROR($P10/$C10,"")</f>
        <v>1</v>
      </c>
    </row>
    <row r="11" customFormat="false" ht="15" hidden="false" customHeight="false" outlineLevel="0" collapsed="false">
      <c r="A11" s="17" t="s">
        <v>65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customFormat="false" ht="15" hidden="false" customHeight="false" outlineLevel="0" collapsed="false">
      <c r="A12" s="19" t="s">
        <v>66</v>
      </c>
      <c r="B12" s="20" t="s">
        <v>67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 t="n">
        <f aca="false">SUM(D12:O12)</f>
        <v>0</v>
      </c>
      <c r="Q12" s="23" t="str">
        <f aca="false">IFERROR($P12/$C12,"")</f>
        <v/>
      </c>
    </row>
    <row r="13" customFormat="false" ht="15" hidden="false" customHeight="false" outlineLevel="0" collapsed="false">
      <c r="A13" s="19" t="s">
        <v>68</v>
      </c>
      <c r="B13" s="20" t="s">
        <v>67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 t="n">
        <f aca="false">SUM(D13:O13)</f>
        <v>0</v>
      </c>
      <c r="Q13" s="23" t="str">
        <f aca="false">IFERROR($P13/$C13,"")</f>
        <v/>
      </c>
    </row>
    <row r="14" customFormat="false" ht="15" hidden="false" customHeight="false" outlineLevel="0" collapsed="false">
      <c r="A14" s="19" t="s">
        <v>69</v>
      </c>
      <c r="B14" s="20" t="s">
        <v>67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 t="n">
        <f aca="false">SUM(D14:O14)</f>
        <v>0</v>
      </c>
      <c r="Q14" s="23" t="str">
        <f aca="false">IFERROR($P14/$C14,"")</f>
        <v/>
      </c>
    </row>
    <row r="15" customFormat="false" ht="15" hidden="false" customHeight="false" outlineLevel="0" collapsed="false">
      <c r="A15" s="19" t="s">
        <v>70</v>
      </c>
      <c r="B15" s="25" t="s">
        <v>64</v>
      </c>
      <c r="C15" s="26" t="str">
        <f aca="false">IFERROR(C14/C13,"")</f>
        <v/>
      </c>
      <c r="D15" s="26" t="str">
        <f aca="false">IFERROR(D14/D13,"")</f>
        <v/>
      </c>
      <c r="E15" s="26" t="str">
        <f aca="false">IFERROR(E14/E13,"")</f>
        <v/>
      </c>
      <c r="F15" s="26" t="str">
        <f aca="false">IFERROR(F14/F13,"")</f>
        <v/>
      </c>
      <c r="G15" s="26" t="str">
        <f aca="false">IFERROR(G14/G13,"")</f>
        <v/>
      </c>
      <c r="H15" s="26" t="str">
        <f aca="false">IFERROR(H14/H13,"")</f>
        <v/>
      </c>
      <c r="I15" s="26" t="str">
        <f aca="false">IFERROR(I14/I13,"")</f>
        <v/>
      </c>
      <c r="J15" s="26" t="str">
        <f aca="false">IFERROR(J14/J13,"")</f>
        <v/>
      </c>
      <c r="K15" s="26" t="str">
        <f aca="false">IFERROR(K14/K13,"")</f>
        <v/>
      </c>
      <c r="L15" s="26" t="str">
        <f aca="false">IFERROR(L14/L13,"")</f>
        <v/>
      </c>
      <c r="M15" s="26" t="str">
        <f aca="false">IFERROR(M14/M13,"")</f>
        <v/>
      </c>
      <c r="N15" s="26" t="str">
        <f aca="false">IFERROR(N14/N13,"")</f>
        <v/>
      </c>
      <c r="O15" s="26" t="str">
        <f aca="false">IFERROR(O14/O13,"")</f>
        <v/>
      </c>
      <c r="P15" s="23" t="str">
        <f aca="false">IFERROR($P14/$P13,"")</f>
        <v/>
      </c>
      <c r="Q15" s="23" t="str">
        <f aca="false">IFERROR($P15/$C15,"")</f>
        <v/>
      </c>
    </row>
    <row r="16" customFormat="false" ht="15" hidden="false" customHeight="false" outlineLevel="0" collapsed="false">
      <c r="A16" s="19" t="s">
        <v>71</v>
      </c>
      <c r="B16" s="20" t="s">
        <v>58</v>
      </c>
      <c r="C16" s="24" t="str">
        <f aca="false">IFERROR(C5/C14,"")</f>
        <v/>
      </c>
      <c r="D16" s="24" t="str">
        <f aca="false">IFERROR(D5/D14,"")</f>
        <v/>
      </c>
      <c r="E16" s="24" t="str">
        <f aca="false">IFERROR(E5/E14,"")</f>
        <v/>
      </c>
      <c r="F16" s="24" t="str">
        <f aca="false">IFERROR(F5/F14,"")</f>
        <v/>
      </c>
      <c r="G16" s="24" t="str">
        <f aca="false">IFERROR(G5/G14,"")</f>
        <v/>
      </c>
      <c r="H16" s="24" t="str">
        <f aca="false">IFERROR(H5/H14,"")</f>
        <v/>
      </c>
      <c r="I16" s="24" t="str">
        <f aca="false">IFERROR(I5/I14,"")</f>
        <v/>
      </c>
      <c r="J16" s="24" t="str">
        <f aca="false">IFERROR(J5/J14,"")</f>
        <v/>
      </c>
      <c r="K16" s="24" t="str">
        <f aca="false">IFERROR(K5/K14,"")</f>
        <v/>
      </c>
      <c r="L16" s="24" t="str">
        <f aca="false">IFERROR(L5/L14,"")</f>
        <v/>
      </c>
      <c r="M16" s="24" t="str">
        <f aca="false">IFERROR(M5/M14,"")</f>
        <v/>
      </c>
      <c r="N16" s="24" t="str">
        <f aca="false">IFERROR(N5/N14,"")</f>
        <v/>
      </c>
      <c r="O16" s="24" t="str">
        <f aca="false">IFERROR(O5/O14,"")</f>
        <v/>
      </c>
      <c r="P16" s="22" t="str">
        <f aca="false">IFERROR($P5/$P14,"")</f>
        <v/>
      </c>
      <c r="Q16" s="23" t="str">
        <f aca="false">IFERROR($P16/$C16,"")</f>
        <v/>
      </c>
    </row>
    <row r="17" customFormat="false" ht="15" hidden="false" customHeight="false" outlineLevel="0" collapsed="false">
      <c r="A17" s="17" t="s">
        <v>72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customFormat="false" ht="15" hidden="false" customHeight="false" outlineLevel="0" collapsed="false">
      <c r="A18" s="19" t="s">
        <v>73</v>
      </c>
      <c r="B18" s="20" t="s">
        <v>74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 t="n">
        <f aca="false">SUM(D18:O18)</f>
        <v>0</v>
      </c>
      <c r="Q18" s="23" t="str">
        <f aca="false">IFERROR($P18/$C18,"")</f>
        <v/>
      </c>
    </row>
    <row r="19" customFormat="false" ht="15" hidden="false" customHeight="false" outlineLevel="0" collapsed="false">
      <c r="A19" s="19" t="s">
        <v>75</v>
      </c>
      <c r="B19" s="20" t="s">
        <v>74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 t="n">
        <f aca="false">SUM(D19:O19)</f>
        <v>0</v>
      </c>
      <c r="Q19" s="23" t="str">
        <f aca="false">IFERROR($P19/$C19,"")</f>
        <v/>
      </c>
    </row>
    <row r="20" customFormat="false" ht="15" hidden="false" customHeight="false" outlineLevel="0" collapsed="false">
      <c r="A20" s="19" t="s">
        <v>76</v>
      </c>
      <c r="B20" s="25" t="s">
        <v>77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 t="n">
        <f aca="false">SUM(D20:O20)</f>
        <v>0</v>
      </c>
      <c r="Q20" s="23" t="str">
        <f aca="false">IFERROR($P20/$C20,"")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2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27" t="s">
        <v>24</v>
      </c>
    </row>
    <row r="2" customFormat="false" ht="15" hidden="false" customHeight="false" outlineLevel="0" collapsed="false">
      <c r="A2" s="14" t="str">
        <f aca="false">""&amp;TEXT(使い方!$C$27,"0")&amp;"年度サマリー（KPI目標実績・資金繰り表と自動連携）"</f>
        <v>2026年度サマリー（KPI目標実績・資金繰り表と自動連携）</v>
      </c>
    </row>
    <row r="4" customFormat="false" ht="15" hidden="false" customHeight="true" outlineLevel="0" collapsed="false">
      <c r="B4" s="28" t="s">
        <v>78</v>
      </c>
      <c r="C4" s="28"/>
      <c r="D4" s="28"/>
      <c r="E4" s="28"/>
      <c r="G4" s="28" t="s">
        <v>79</v>
      </c>
      <c r="H4" s="28"/>
    </row>
    <row r="5" customFormat="false" ht="15" hidden="false" customHeight="false" outlineLevel="0" collapsed="false">
      <c r="B5" s="15" t="s">
        <v>39</v>
      </c>
      <c r="C5" s="15" t="s">
        <v>41</v>
      </c>
      <c r="D5" s="15" t="s">
        <v>54</v>
      </c>
      <c r="E5" s="15" t="s">
        <v>55</v>
      </c>
      <c r="G5" s="15" t="s">
        <v>39</v>
      </c>
      <c r="H5" s="15" t="s">
        <v>80</v>
      </c>
    </row>
    <row r="6" customFormat="false" ht="15" hidden="false" customHeight="false" outlineLevel="0" collapsed="false">
      <c r="B6" s="19" t="s">
        <v>57</v>
      </c>
      <c r="C6" s="29" t="n">
        <f aca="false">KPI目標実績!C5</f>
        <v>120000000</v>
      </c>
      <c r="D6" s="29" t="n">
        <f aca="false">KPI目標実績!P5</f>
        <v>8500000</v>
      </c>
      <c r="E6" s="30" t="n">
        <f aca="false">KPI目標実績!Q5</f>
        <v>0.0708333333333333</v>
      </c>
      <c r="G6" s="19" t="s">
        <v>81</v>
      </c>
      <c r="H6" s="31" t="n">
        <f aca="false">資金繰り表!$C$4</f>
        <v>5000000</v>
      </c>
    </row>
    <row r="7" customFormat="false" ht="15" hidden="false" customHeight="false" outlineLevel="0" collapsed="false">
      <c r="B7" s="19" t="s">
        <v>60</v>
      </c>
      <c r="C7" s="29" t="n">
        <f aca="false">KPI目標実績!C7</f>
        <v>120000000</v>
      </c>
      <c r="D7" s="29" t="n">
        <f aca="false">KPI目標実績!P7</f>
        <v>8500000</v>
      </c>
      <c r="E7" s="30" t="n">
        <f aca="false">KPI目標実績!Q7</f>
        <v>0.0708333333333333</v>
      </c>
      <c r="G7" s="19" t="s">
        <v>82</v>
      </c>
      <c r="H7" s="31" t="n">
        <f aca="false">資金繰り表!$N$24</f>
        <v>6100000</v>
      </c>
    </row>
    <row r="8" customFormat="false" ht="15" hidden="false" customHeight="false" outlineLevel="0" collapsed="false">
      <c r="B8" s="19" t="s">
        <v>62</v>
      </c>
      <c r="C8" s="29" t="n">
        <f aca="false">KPI目標実績!C9</f>
        <v>120000000</v>
      </c>
      <c r="D8" s="29" t="n">
        <f aca="false">KPI目標実績!P9</f>
        <v>8500000</v>
      </c>
      <c r="E8" s="30" t="n">
        <f aca="false">KPI目標実績!Q9</f>
        <v>0.0708333333333333</v>
      </c>
      <c r="G8" s="19" t="s">
        <v>83</v>
      </c>
      <c r="H8" s="31" t="n">
        <f aca="false">資金繰り表!$O$17</f>
        <v>1100000</v>
      </c>
    </row>
    <row r="9" customFormat="false" ht="15" hidden="false" customHeight="false" outlineLevel="0" collapsed="false">
      <c r="B9" s="19" t="s">
        <v>63</v>
      </c>
      <c r="C9" s="32" t="n">
        <f aca="false">KPI目標実績!C10</f>
        <v>1</v>
      </c>
      <c r="D9" s="32" t="n">
        <f aca="false">KPI目標実績!P10</f>
        <v>1</v>
      </c>
      <c r="E9" s="30" t="n">
        <f aca="false">KPI目標実績!Q10</f>
        <v>1</v>
      </c>
      <c r="G9" s="19" t="s">
        <v>84</v>
      </c>
      <c r="H9" s="31" t="n">
        <f aca="false">MIN(資金繰り表!$C$24:$N$24)</f>
        <v>6100000</v>
      </c>
    </row>
    <row r="10" customFormat="false" ht="15" hidden="false" customHeight="false" outlineLevel="0" collapsed="false">
      <c r="B10" s="19" t="s">
        <v>69</v>
      </c>
      <c r="C10" s="29" t="n">
        <f aca="false">KPI目標実績!C14</f>
        <v>0</v>
      </c>
      <c r="D10" s="29" t="n">
        <f aca="false">KPI目標実績!P14</f>
        <v>0</v>
      </c>
      <c r="E10" s="30" t="str">
        <f aca="false">KPI目標実績!Q14</f>
        <v/>
      </c>
    </row>
    <row r="11" customFormat="false" ht="15" hidden="false" customHeight="false" outlineLevel="0" collapsed="false">
      <c r="B11" s="19" t="s">
        <v>70</v>
      </c>
      <c r="C11" s="32" t="str">
        <f aca="false">KPI目標実績!C15</f>
        <v/>
      </c>
      <c r="D11" s="32" t="str">
        <f aca="false">KPI目標実績!P15</f>
        <v/>
      </c>
      <c r="E11" s="30" t="str">
        <f aca="false">KPI目標実績!Q15</f>
        <v/>
      </c>
      <c r="G11" s="33" t="s">
        <v>85</v>
      </c>
      <c r="H11" s="33"/>
    </row>
    <row r="14" customFormat="false" ht="15" hidden="false" customHeight="true" outlineLevel="0" collapsed="false">
      <c r="B14" s="34" t="s">
        <v>86</v>
      </c>
      <c r="C14" s="34"/>
      <c r="D14" s="34"/>
      <c r="E14" s="34"/>
      <c r="F14" s="34"/>
      <c r="G14" s="34"/>
      <c r="H14" s="34"/>
    </row>
    <row r="15" customFormat="false" ht="15" hidden="false" customHeight="true" outlineLevel="0" collapsed="false">
      <c r="B15" s="35" t="s">
        <v>87</v>
      </c>
      <c r="C15" s="35"/>
      <c r="D15" s="35"/>
      <c r="E15" s="35"/>
      <c r="F15" s="35"/>
      <c r="G15" s="35"/>
      <c r="H15" s="35"/>
    </row>
    <row r="16" customFormat="false" ht="15" hidden="false" customHeight="false" outlineLevel="0" collapsed="false">
      <c r="B16" s="35"/>
      <c r="C16" s="35"/>
      <c r="D16" s="35"/>
      <c r="E16" s="35"/>
      <c r="F16" s="35"/>
      <c r="G16" s="35"/>
      <c r="H16" s="35"/>
    </row>
    <row r="17" customFormat="false" ht="15" hidden="false" customHeight="false" outlineLevel="0" collapsed="false">
      <c r="B17" s="35"/>
      <c r="C17" s="35"/>
      <c r="D17" s="35"/>
      <c r="E17" s="35"/>
      <c r="F17" s="35"/>
      <c r="G17" s="35"/>
      <c r="H17" s="35"/>
    </row>
    <row r="18" customFormat="false" ht="15" hidden="false" customHeight="false" outlineLevel="0" collapsed="false">
      <c r="B18" s="35"/>
      <c r="C18" s="35"/>
      <c r="D18" s="35"/>
      <c r="E18" s="35"/>
      <c r="F18" s="35"/>
      <c r="G18" s="35"/>
      <c r="H18" s="35"/>
    </row>
  </sheetData>
  <mergeCells count="5">
    <mergeCell ref="B4:E4"/>
    <mergeCell ref="G4:H4"/>
    <mergeCell ref="G11:H11"/>
    <mergeCell ref="B14:H14"/>
    <mergeCell ref="B15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7" min="6" style="0" width="26"/>
  </cols>
  <sheetData>
    <row r="1" customFormat="false" ht="19.7" hidden="false" customHeight="false" outlineLevel="0" collapsed="false">
      <c r="A1" s="27" t="s">
        <v>28</v>
      </c>
    </row>
    <row r="2" customFormat="false" ht="15" hidden="false" customHeight="false" outlineLevel="0" collapsed="false">
      <c r="A2" s="14" t="s">
        <v>88</v>
      </c>
    </row>
    <row r="3" customFormat="false" ht="28.35" hidden="false" customHeight="false" outlineLevel="0" collapsed="false">
      <c r="A3" s="15" t="s">
        <v>89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  <c r="G3" s="15" t="s">
        <v>95</v>
      </c>
    </row>
    <row r="4" customFormat="false" ht="15" hidden="false" customHeight="false" outlineLevel="0" collapsed="false">
      <c r="A4" s="36" t="s">
        <v>96</v>
      </c>
      <c r="B4" s="37" t="s">
        <v>97</v>
      </c>
      <c r="C4" s="37" t="s">
        <v>98</v>
      </c>
      <c r="D4" s="36" t="s">
        <v>99</v>
      </c>
      <c r="E4" s="37" t="s">
        <v>100</v>
      </c>
      <c r="F4" s="36" t="s">
        <v>101</v>
      </c>
      <c r="G4" s="36" t="s">
        <v>102</v>
      </c>
    </row>
    <row r="5" customFormat="false" ht="15" hidden="false" customHeight="false" outlineLevel="0" collapsed="false">
      <c r="A5" s="38"/>
      <c r="B5" s="38"/>
      <c r="C5" s="39"/>
      <c r="D5" s="39"/>
      <c r="E5" s="40"/>
      <c r="F5" s="39"/>
      <c r="G5" s="39"/>
    </row>
    <row r="6" customFormat="false" ht="15" hidden="false" customHeight="false" outlineLevel="0" collapsed="false">
      <c r="A6" s="41"/>
      <c r="B6" s="41"/>
      <c r="C6" s="42"/>
      <c r="D6" s="42"/>
      <c r="E6" s="41"/>
      <c r="F6" s="42"/>
      <c r="G6" s="42"/>
    </row>
    <row r="7" customFormat="false" ht="15" hidden="false" customHeight="false" outlineLevel="0" collapsed="false">
      <c r="A7" s="38"/>
      <c r="B7" s="38"/>
      <c r="C7" s="39"/>
      <c r="D7" s="39"/>
      <c r="E7" s="38"/>
      <c r="F7" s="39"/>
      <c r="G7" s="39"/>
    </row>
    <row r="8" customFormat="false" ht="15" hidden="false" customHeight="false" outlineLevel="0" collapsed="false">
      <c r="A8" s="41"/>
      <c r="B8" s="41"/>
      <c r="C8" s="42"/>
      <c r="D8" s="42"/>
      <c r="E8" s="41"/>
      <c r="F8" s="42"/>
      <c r="G8" s="42"/>
    </row>
    <row r="9" customFormat="false" ht="15" hidden="false" customHeight="false" outlineLevel="0" collapsed="false">
      <c r="A9" s="38"/>
      <c r="B9" s="38"/>
      <c r="C9" s="39"/>
      <c r="D9" s="39"/>
      <c r="E9" s="38"/>
      <c r="F9" s="39"/>
      <c r="G9" s="39"/>
    </row>
    <row r="10" customFormat="false" ht="15" hidden="false" customHeight="false" outlineLevel="0" collapsed="false">
      <c r="A10" s="41"/>
      <c r="B10" s="41"/>
      <c r="C10" s="42"/>
      <c r="D10" s="42"/>
      <c r="E10" s="41"/>
      <c r="F10" s="42"/>
      <c r="G10" s="42"/>
    </row>
    <row r="11" customFormat="false" ht="15" hidden="false" customHeight="false" outlineLevel="0" collapsed="false">
      <c r="A11" s="38"/>
      <c r="B11" s="38"/>
      <c r="C11" s="39"/>
      <c r="D11" s="39"/>
      <c r="E11" s="38"/>
      <c r="F11" s="39"/>
      <c r="G11" s="39"/>
    </row>
    <row r="12" customFormat="false" ht="15" hidden="false" customHeight="false" outlineLevel="0" collapsed="false">
      <c r="A12" s="41"/>
      <c r="B12" s="41"/>
      <c r="C12" s="42"/>
      <c r="D12" s="42"/>
      <c r="E12" s="41"/>
      <c r="F12" s="42"/>
      <c r="G12" s="42"/>
    </row>
    <row r="13" customFormat="false" ht="15" hidden="false" customHeight="false" outlineLevel="0" collapsed="false">
      <c r="A13" s="38"/>
      <c r="B13" s="38"/>
      <c r="C13" s="39"/>
      <c r="D13" s="39"/>
      <c r="E13" s="38"/>
      <c r="F13" s="39"/>
      <c r="G13" s="39"/>
    </row>
    <row r="14" customFormat="false" ht="15" hidden="false" customHeight="false" outlineLevel="0" collapsed="false">
      <c r="A14" s="41"/>
      <c r="B14" s="41"/>
      <c r="C14" s="42"/>
      <c r="D14" s="42"/>
      <c r="E14" s="41"/>
      <c r="F14" s="42"/>
      <c r="G14" s="42"/>
    </row>
    <row r="15" customFormat="false" ht="15" hidden="false" customHeight="false" outlineLevel="0" collapsed="false">
      <c r="A15" s="38"/>
      <c r="B15" s="38"/>
      <c r="C15" s="39"/>
      <c r="D15" s="39"/>
      <c r="E15" s="38"/>
      <c r="F15" s="39"/>
      <c r="G15" s="39"/>
    </row>
    <row r="16" customFormat="false" ht="15" hidden="false" customHeight="false" outlineLevel="0" collapsed="false">
      <c r="A16" s="41"/>
      <c r="B16" s="41"/>
      <c r="C16" s="42"/>
      <c r="D16" s="42"/>
      <c r="E16" s="41"/>
      <c r="F16" s="42"/>
      <c r="G16" s="42"/>
    </row>
    <row r="17" customFormat="false" ht="15" hidden="false" customHeight="false" outlineLevel="0" collapsed="false">
      <c r="A17" s="38"/>
      <c r="B17" s="38"/>
      <c r="C17" s="39"/>
      <c r="D17" s="39"/>
      <c r="E17" s="38"/>
      <c r="F17" s="39"/>
      <c r="G17" s="39"/>
    </row>
    <row r="18" customFormat="false" ht="15" hidden="false" customHeight="false" outlineLevel="0" collapsed="false">
      <c r="A18" s="41"/>
      <c r="B18" s="41"/>
      <c r="C18" s="42"/>
      <c r="D18" s="42"/>
      <c r="E18" s="41"/>
      <c r="F18" s="42"/>
      <c r="G18" s="42"/>
    </row>
    <row r="19" customFormat="false" ht="15" hidden="false" customHeight="false" outlineLevel="0" collapsed="false">
      <c r="A19" s="38"/>
      <c r="B19" s="38"/>
      <c r="C19" s="39"/>
      <c r="D19" s="39"/>
      <c r="E19" s="38"/>
      <c r="F19" s="39"/>
      <c r="G19" s="39"/>
    </row>
    <row r="20" customFormat="false" ht="15" hidden="false" customHeight="false" outlineLevel="0" collapsed="false">
      <c r="A20" s="41"/>
      <c r="B20" s="41"/>
      <c r="C20" s="42"/>
      <c r="D20" s="42"/>
      <c r="E20" s="41"/>
      <c r="F20" s="42"/>
      <c r="G20" s="42"/>
    </row>
    <row r="21" customFormat="false" ht="15" hidden="false" customHeight="false" outlineLevel="0" collapsed="false">
      <c r="A21" s="38"/>
      <c r="B21" s="38"/>
      <c r="C21" s="39"/>
      <c r="D21" s="39"/>
      <c r="E21" s="38"/>
      <c r="F21" s="39"/>
      <c r="G21" s="39"/>
    </row>
    <row r="22" customFormat="false" ht="15" hidden="false" customHeight="false" outlineLevel="0" collapsed="false">
      <c r="A22" s="41"/>
      <c r="B22" s="41"/>
      <c r="C22" s="42"/>
      <c r="D22" s="42"/>
      <c r="E22" s="41"/>
      <c r="F22" s="42"/>
      <c r="G22" s="42"/>
    </row>
    <row r="23" customFormat="false" ht="15" hidden="false" customHeight="false" outlineLevel="0" collapsed="false">
      <c r="A23" s="38"/>
      <c r="B23" s="38"/>
      <c r="C23" s="39"/>
      <c r="D23" s="39"/>
      <c r="E23" s="38"/>
      <c r="F23" s="39"/>
      <c r="G23" s="39"/>
    </row>
    <row r="24" customFormat="false" ht="15" hidden="false" customHeight="false" outlineLevel="0" collapsed="false">
      <c r="A24" s="41"/>
      <c r="B24" s="41"/>
      <c r="C24" s="42"/>
      <c r="D24" s="42"/>
      <c r="E24" s="41"/>
      <c r="F24" s="42"/>
      <c r="G24" s="42"/>
    </row>
    <row r="25" customFormat="false" ht="15" hidden="false" customHeight="false" outlineLevel="0" collapsed="false">
      <c r="A25" s="38"/>
      <c r="B25" s="38"/>
      <c r="C25" s="39"/>
      <c r="D25" s="39"/>
      <c r="E25" s="38"/>
      <c r="F25" s="39"/>
      <c r="G25" s="39"/>
    </row>
    <row r="26" customFormat="false" ht="15" hidden="false" customHeight="false" outlineLevel="0" collapsed="false">
      <c r="A26" s="41"/>
      <c r="B26" s="41"/>
      <c r="C26" s="42"/>
      <c r="D26" s="42"/>
      <c r="E26" s="41"/>
      <c r="F26" s="42"/>
      <c r="G26" s="42"/>
    </row>
    <row r="27" customFormat="false" ht="15" hidden="false" customHeight="false" outlineLevel="0" collapsed="false">
      <c r="A27" s="38"/>
      <c r="B27" s="38"/>
      <c r="C27" s="39"/>
      <c r="D27" s="39"/>
      <c r="E27" s="38"/>
      <c r="F27" s="39"/>
      <c r="G27" s="39"/>
    </row>
    <row r="28" customFormat="false" ht="15" hidden="false" customHeight="false" outlineLevel="0" collapsed="false">
      <c r="A28" s="41"/>
      <c r="B28" s="41"/>
      <c r="C28" s="42"/>
      <c r="D28" s="42"/>
      <c r="E28" s="41"/>
      <c r="F28" s="42"/>
      <c r="G28" s="42"/>
    </row>
    <row r="29" customFormat="false" ht="15" hidden="false" customHeight="false" outlineLevel="0" collapsed="false">
      <c r="A29" s="38"/>
      <c r="B29" s="38"/>
      <c r="C29" s="39"/>
      <c r="D29" s="39"/>
      <c r="E29" s="38"/>
      <c r="F29" s="39"/>
      <c r="G29" s="39"/>
    </row>
    <row r="30" customFormat="false" ht="15" hidden="false" customHeight="false" outlineLevel="0" collapsed="false">
      <c r="A30" s="41"/>
      <c r="B30" s="41"/>
      <c r="C30" s="42"/>
      <c r="D30" s="42"/>
      <c r="E30" s="41"/>
      <c r="F30" s="42"/>
      <c r="G30" s="42"/>
    </row>
    <row r="31" customFormat="false" ht="15" hidden="false" customHeight="false" outlineLevel="0" collapsed="false">
      <c r="A31" s="38"/>
      <c r="B31" s="38"/>
      <c r="C31" s="39"/>
      <c r="D31" s="39"/>
      <c r="E31" s="38"/>
      <c r="F31" s="39"/>
      <c r="G31" s="39"/>
    </row>
    <row r="32" customFormat="false" ht="15" hidden="false" customHeight="false" outlineLevel="0" collapsed="false">
      <c r="A32" s="41"/>
      <c r="B32" s="41"/>
      <c r="C32" s="42"/>
      <c r="D32" s="42"/>
      <c r="E32" s="41"/>
      <c r="F32" s="42"/>
      <c r="G32" s="42"/>
    </row>
    <row r="33" customFormat="false" ht="15" hidden="false" customHeight="false" outlineLevel="0" collapsed="false">
      <c r="A33" s="38"/>
      <c r="B33" s="38"/>
      <c r="C33" s="39"/>
      <c r="D33" s="39"/>
      <c r="E33" s="38"/>
      <c r="F33" s="39"/>
      <c r="G33" s="39"/>
    </row>
    <row r="34" customFormat="false" ht="15" hidden="false" customHeight="false" outlineLevel="0" collapsed="false">
      <c r="A34" s="41"/>
      <c r="B34" s="41"/>
      <c r="C34" s="42"/>
      <c r="D34" s="42"/>
      <c r="E34" s="41"/>
      <c r="F34" s="42"/>
      <c r="G34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7" min="6" style="0" width="24"/>
    <col collapsed="false" customWidth="true" hidden="false" outlineLevel="0" max="8" min="8" style="0" width="26"/>
    <col collapsed="false" customWidth="true" hidden="false" outlineLevel="0" max="9" min="9" style="0" width="24"/>
  </cols>
  <sheetData>
    <row r="1" customFormat="false" ht="19.7" hidden="false" customHeight="false" outlineLevel="0" collapsed="false">
      <c r="A1" s="27" t="s">
        <v>30</v>
      </c>
    </row>
    <row r="2" customFormat="false" ht="15" hidden="false" customHeight="false" outlineLevel="0" collapsed="false">
      <c r="A2" s="14" t="s">
        <v>103</v>
      </c>
    </row>
    <row r="3" customFormat="false" ht="28.35" hidden="false" customHeight="false" outlineLevel="0" collapsed="false">
      <c r="A3" s="15" t="s">
        <v>104</v>
      </c>
      <c r="B3" s="15" t="s">
        <v>105</v>
      </c>
      <c r="C3" s="15" t="s">
        <v>106</v>
      </c>
      <c r="D3" s="15" t="s">
        <v>107</v>
      </c>
      <c r="E3" s="15" t="s">
        <v>55</v>
      </c>
      <c r="F3" s="15" t="s">
        <v>108</v>
      </c>
      <c r="G3" s="15" t="s">
        <v>109</v>
      </c>
      <c r="H3" s="15" t="s">
        <v>110</v>
      </c>
      <c r="I3" s="15" t="s">
        <v>111</v>
      </c>
    </row>
    <row r="4" customFormat="false" ht="15" hidden="false" customHeight="false" outlineLevel="0" collapsed="false">
      <c r="A4" s="43" t="s">
        <v>112</v>
      </c>
      <c r="B4" s="37" t="s">
        <v>113</v>
      </c>
      <c r="C4" s="43" t="n">
        <v>50</v>
      </c>
      <c r="D4" s="43" t="n">
        <v>42</v>
      </c>
      <c r="E4" s="44" t="n">
        <f aca="false">IFERROR(D4/C4,"")</f>
        <v>0.84</v>
      </c>
      <c r="F4" s="37" t="s">
        <v>114</v>
      </c>
      <c r="G4" s="37" t="s">
        <v>115</v>
      </c>
      <c r="H4" s="37" t="s">
        <v>116</v>
      </c>
      <c r="I4" s="37" t="s">
        <v>117</v>
      </c>
    </row>
    <row r="5" customFormat="false" ht="15" hidden="false" customHeight="false" outlineLevel="0" collapsed="false">
      <c r="A5" s="38"/>
      <c r="B5" s="39"/>
      <c r="C5" s="40"/>
      <c r="D5" s="40"/>
      <c r="E5" s="45" t="str">
        <f aca="false">IFERROR(D5/C5,"")</f>
        <v/>
      </c>
      <c r="F5" s="39"/>
      <c r="G5" s="39"/>
      <c r="H5" s="39"/>
      <c r="I5" s="39"/>
    </row>
    <row r="6" customFormat="false" ht="15" hidden="false" customHeight="false" outlineLevel="0" collapsed="false">
      <c r="A6" s="38"/>
      <c r="B6" s="39"/>
      <c r="C6" s="40"/>
      <c r="D6" s="40"/>
      <c r="E6" s="45" t="str">
        <f aca="false">IFERROR(D6/C6,"")</f>
        <v/>
      </c>
      <c r="F6" s="39"/>
      <c r="G6" s="39"/>
      <c r="H6" s="39"/>
      <c r="I6" s="39"/>
    </row>
    <row r="7" customFormat="false" ht="15" hidden="false" customHeight="false" outlineLevel="0" collapsed="false">
      <c r="A7" s="38"/>
      <c r="B7" s="39"/>
      <c r="C7" s="40"/>
      <c r="D7" s="40"/>
      <c r="E7" s="45" t="str">
        <f aca="false">IFERROR(D7/C7,"")</f>
        <v/>
      </c>
      <c r="F7" s="39"/>
      <c r="G7" s="39"/>
      <c r="H7" s="39"/>
      <c r="I7" s="39"/>
    </row>
    <row r="8" customFormat="false" ht="15" hidden="false" customHeight="false" outlineLevel="0" collapsed="false">
      <c r="A8" s="38"/>
      <c r="B8" s="39"/>
      <c r="C8" s="40"/>
      <c r="D8" s="40"/>
      <c r="E8" s="45" t="str">
        <f aca="false">IFERROR(D8/C8,"")</f>
        <v/>
      </c>
      <c r="F8" s="39"/>
      <c r="G8" s="39"/>
      <c r="H8" s="39"/>
      <c r="I8" s="39"/>
    </row>
    <row r="9" customFormat="false" ht="15" hidden="false" customHeight="false" outlineLevel="0" collapsed="false">
      <c r="A9" s="38"/>
      <c r="B9" s="39"/>
      <c r="C9" s="40"/>
      <c r="D9" s="40"/>
      <c r="E9" s="45" t="str">
        <f aca="false">IFERROR(D9/C9,"")</f>
        <v/>
      </c>
      <c r="F9" s="39"/>
      <c r="G9" s="39"/>
      <c r="H9" s="39"/>
      <c r="I9" s="39"/>
    </row>
    <row r="10" customFormat="false" ht="15" hidden="false" customHeight="false" outlineLevel="0" collapsed="false">
      <c r="A10" s="38"/>
      <c r="B10" s="39"/>
      <c r="C10" s="40"/>
      <c r="D10" s="40"/>
      <c r="E10" s="45" t="str">
        <f aca="false">IFERROR(D10/C10,"")</f>
        <v/>
      </c>
      <c r="F10" s="39"/>
      <c r="G10" s="39"/>
      <c r="H10" s="39"/>
      <c r="I10" s="39"/>
    </row>
    <row r="11" customFormat="false" ht="15" hidden="false" customHeight="false" outlineLevel="0" collapsed="false">
      <c r="A11" s="38"/>
      <c r="B11" s="39"/>
      <c r="C11" s="40"/>
      <c r="D11" s="40"/>
      <c r="E11" s="45" t="str">
        <f aca="false">IFERROR(D11/C11,"")</f>
        <v/>
      </c>
      <c r="F11" s="39"/>
      <c r="G11" s="39"/>
      <c r="H11" s="39"/>
      <c r="I11" s="39"/>
    </row>
    <row r="12" customFormat="false" ht="15" hidden="false" customHeight="false" outlineLevel="0" collapsed="false">
      <c r="A12" s="38"/>
      <c r="B12" s="39"/>
      <c r="C12" s="40"/>
      <c r="D12" s="40"/>
      <c r="E12" s="45" t="str">
        <f aca="false">IFERROR(D12/C12,"")</f>
        <v/>
      </c>
      <c r="F12" s="39"/>
      <c r="G12" s="39"/>
      <c r="H12" s="39"/>
      <c r="I12" s="39"/>
    </row>
    <row r="13" customFormat="false" ht="15" hidden="false" customHeight="false" outlineLevel="0" collapsed="false">
      <c r="A13" s="38"/>
      <c r="B13" s="39"/>
      <c r="C13" s="40"/>
      <c r="D13" s="40"/>
      <c r="E13" s="45" t="str">
        <f aca="false">IFERROR(D13/C13,"")</f>
        <v/>
      </c>
      <c r="F13" s="39"/>
      <c r="G13" s="39"/>
      <c r="H13" s="39"/>
      <c r="I13" s="39"/>
    </row>
    <row r="14" customFormat="false" ht="15" hidden="false" customHeight="false" outlineLevel="0" collapsed="false">
      <c r="A14" s="38"/>
      <c r="B14" s="39"/>
      <c r="C14" s="40"/>
      <c r="D14" s="40"/>
      <c r="E14" s="45" t="str">
        <f aca="false">IFERROR(D14/C14,"")</f>
        <v/>
      </c>
      <c r="F14" s="39"/>
      <c r="G14" s="39"/>
      <c r="H14" s="39"/>
      <c r="I14" s="39"/>
    </row>
    <row r="15" customFormat="false" ht="15" hidden="false" customHeight="false" outlineLevel="0" collapsed="false">
      <c r="A15" s="38"/>
      <c r="B15" s="39"/>
      <c r="C15" s="40"/>
      <c r="D15" s="40"/>
      <c r="E15" s="45" t="str">
        <f aca="false">IFERROR(D15/C15,"")</f>
        <v/>
      </c>
      <c r="F15" s="39"/>
      <c r="G15" s="39"/>
      <c r="H15" s="39"/>
      <c r="I15" s="39"/>
    </row>
    <row r="16" customFormat="false" ht="15" hidden="false" customHeight="false" outlineLevel="0" collapsed="false">
      <c r="A16" s="38"/>
      <c r="B16" s="39"/>
      <c r="C16" s="40"/>
      <c r="D16" s="40"/>
      <c r="E16" s="45" t="str">
        <f aca="false">IFERROR(D16/C16,"")</f>
        <v/>
      </c>
      <c r="F16" s="39"/>
      <c r="G16" s="39"/>
      <c r="H16" s="39"/>
      <c r="I16" s="39"/>
    </row>
    <row r="17" customFormat="false" ht="15" hidden="false" customHeight="false" outlineLevel="0" collapsed="false">
      <c r="A17" s="38"/>
      <c r="B17" s="39"/>
      <c r="C17" s="40"/>
      <c r="D17" s="40"/>
      <c r="E17" s="45" t="str">
        <f aca="false">IFERROR(D17/C17,"")</f>
        <v/>
      </c>
      <c r="F17" s="39"/>
      <c r="G17" s="39"/>
      <c r="H17" s="39"/>
      <c r="I17" s="39"/>
    </row>
    <row r="18" customFormat="false" ht="15" hidden="false" customHeight="false" outlineLevel="0" collapsed="false">
      <c r="A18" s="38"/>
      <c r="B18" s="39"/>
      <c r="C18" s="40"/>
      <c r="D18" s="40"/>
      <c r="E18" s="45" t="str">
        <f aca="false">IFERROR(D18/C18,"")</f>
        <v/>
      </c>
      <c r="F18" s="39"/>
      <c r="G18" s="39"/>
      <c r="H18" s="39"/>
      <c r="I18" s="39"/>
    </row>
    <row r="19" customFormat="false" ht="15" hidden="false" customHeight="false" outlineLevel="0" collapsed="false">
      <c r="A19" s="38"/>
      <c r="B19" s="39"/>
      <c r="C19" s="40"/>
      <c r="D19" s="40"/>
      <c r="E19" s="45" t="str">
        <f aca="false">IFERROR(D19/C19,"")</f>
        <v/>
      </c>
      <c r="F19" s="39"/>
      <c r="G19" s="39"/>
      <c r="H19" s="39"/>
      <c r="I19" s="39"/>
    </row>
    <row r="20" customFormat="false" ht="15" hidden="false" customHeight="false" outlineLevel="0" collapsed="false">
      <c r="A20" s="38"/>
      <c r="B20" s="39"/>
      <c r="C20" s="40"/>
      <c r="D20" s="40"/>
      <c r="E20" s="45" t="str">
        <f aca="false">IFERROR(D20/C20,"")</f>
        <v/>
      </c>
      <c r="F20" s="39"/>
      <c r="G20" s="39"/>
      <c r="H20" s="39"/>
      <c r="I20" s="39"/>
    </row>
    <row r="21" customFormat="false" ht="15" hidden="false" customHeight="false" outlineLevel="0" collapsed="false">
      <c r="A21" s="38"/>
      <c r="B21" s="39"/>
      <c r="C21" s="40"/>
      <c r="D21" s="40"/>
      <c r="E21" s="45" t="str">
        <f aca="false">IFERROR(D21/C21,"")</f>
        <v/>
      </c>
      <c r="F21" s="39"/>
      <c r="G21" s="39"/>
      <c r="H21" s="39"/>
      <c r="I21" s="39"/>
    </row>
    <row r="22" customFormat="false" ht="15" hidden="false" customHeight="false" outlineLevel="0" collapsed="false">
      <c r="A22" s="38"/>
      <c r="B22" s="39"/>
      <c r="C22" s="40"/>
      <c r="D22" s="40"/>
      <c r="E22" s="45" t="str">
        <f aca="false">IFERROR(D22/C22,"")</f>
        <v/>
      </c>
      <c r="F22" s="39"/>
      <c r="G22" s="39"/>
      <c r="H22" s="39"/>
      <c r="I22" s="39"/>
    </row>
    <row r="23" customFormat="false" ht="15" hidden="false" customHeight="false" outlineLevel="0" collapsed="false">
      <c r="A23" s="38"/>
      <c r="B23" s="39"/>
      <c r="C23" s="40"/>
      <c r="D23" s="40"/>
      <c r="E23" s="45" t="str">
        <f aca="false">IFERROR(D23/C23,"")</f>
        <v/>
      </c>
      <c r="F23" s="39"/>
      <c r="G23" s="39"/>
      <c r="H23" s="39"/>
      <c r="I23" s="39"/>
    </row>
    <row r="24" customFormat="false" ht="15" hidden="false" customHeight="false" outlineLevel="0" collapsed="false">
      <c r="A24" s="38"/>
      <c r="B24" s="39"/>
      <c r="C24" s="40"/>
      <c r="D24" s="40"/>
      <c r="E24" s="45" t="str">
        <f aca="false">IFERROR(D24/C24,"")</f>
        <v/>
      </c>
      <c r="F24" s="39"/>
      <c r="G24" s="39"/>
      <c r="H24" s="39"/>
      <c r="I24" s="39"/>
    </row>
    <row r="25" customFormat="false" ht="15" hidden="false" customHeight="false" outlineLevel="0" collapsed="false">
      <c r="A25" s="38"/>
      <c r="B25" s="39"/>
      <c r="C25" s="40"/>
      <c r="D25" s="40"/>
      <c r="E25" s="45" t="str">
        <f aca="false">IFERROR(D25/C25,"")</f>
        <v/>
      </c>
      <c r="F25" s="39"/>
      <c r="G25" s="39"/>
      <c r="H25" s="39"/>
      <c r="I25" s="39"/>
    </row>
    <row r="26" customFormat="false" ht="15" hidden="false" customHeight="false" outlineLevel="0" collapsed="false">
      <c r="A26" s="38"/>
      <c r="B26" s="39"/>
      <c r="C26" s="40"/>
      <c r="D26" s="40"/>
      <c r="E26" s="45" t="str">
        <f aca="false">IFERROR(D26/C26,"")</f>
        <v/>
      </c>
      <c r="F26" s="39"/>
      <c r="G26" s="39"/>
      <c r="H26" s="39"/>
      <c r="I26" s="39"/>
    </row>
    <row r="27" customFormat="false" ht="15" hidden="false" customHeight="false" outlineLevel="0" collapsed="false">
      <c r="A27" s="38"/>
      <c r="B27" s="39"/>
      <c r="C27" s="40"/>
      <c r="D27" s="40"/>
      <c r="E27" s="45" t="str">
        <f aca="false">IFERROR(D27/C27,"")</f>
        <v/>
      </c>
      <c r="F27" s="39"/>
      <c r="G27" s="39"/>
      <c r="H27" s="39"/>
      <c r="I27" s="39"/>
    </row>
    <row r="28" customFormat="false" ht="15" hidden="false" customHeight="false" outlineLevel="0" collapsed="false">
      <c r="A28" s="38"/>
      <c r="B28" s="39"/>
      <c r="C28" s="40"/>
      <c r="D28" s="40"/>
      <c r="E28" s="45" t="str">
        <f aca="false">IFERROR(D28/C28,"")</f>
        <v/>
      </c>
      <c r="F28" s="39"/>
      <c r="G28" s="39"/>
      <c r="H28" s="39"/>
      <c r="I28" s="39"/>
    </row>
    <row r="29" customFormat="false" ht="15" hidden="false" customHeight="false" outlineLevel="0" collapsed="false">
      <c r="A29" s="38"/>
      <c r="B29" s="39"/>
      <c r="C29" s="40"/>
      <c r="D29" s="40"/>
      <c r="E29" s="45" t="str">
        <f aca="false">IFERROR(D29/C29,"")</f>
        <v/>
      </c>
      <c r="F29" s="39"/>
      <c r="G29" s="39"/>
      <c r="H29" s="39"/>
      <c r="I29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4" min="3" style="0" width="11"/>
    <col collapsed="false" customWidth="true" hidden="false" outlineLevel="0" max="15" min="15" style="0" width="13"/>
  </cols>
  <sheetData>
    <row r="1" customFormat="false" ht="19.7" hidden="false" customHeight="false" outlineLevel="0" collapsed="false">
      <c r="A1" s="27" t="s">
        <v>118</v>
      </c>
    </row>
    <row r="2" customFormat="false" ht="15" hidden="false" customHeight="false" outlineLevel="0" collapsed="false">
      <c r="A2" s="14" t="s">
        <v>119</v>
      </c>
    </row>
    <row r="3" customFormat="false" ht="15" hidden="false" customHeight="false" outlineLevel="0" collapsed="false">
      <c r="B3" s="15" t="s">
        <v>39</v>
      </c>
      <c r="C3" s="16" t="s">
        <v>42</v>
      </c>
      <c r="D3" s="16" t="s">
        <v>43</v>
      </c>
      <c r="E3" s="16" t="s">
        <v>44</v>
      </c>
      <c r="F3" s="16" t="s">
        <v>45</v>
      </c>
      <c r="G3" s="16" t="s">
        <v>46</v>
      </c>
      <c r="H3" s="16" t="s">
        <v>47</v>
      </c>
      <c r="I3" s="16" t="s">
        <v>48</v>
      </c>
      <c r="J3" s="16" t="s">
        <v>49</v>
      </c>
      <c r="K3" s="16" t="s">
        <v>50</v>
      </c>
      <c r="L3" s="16" t="s">
        <v>51</v>
      </c>
      <c r="M3" s="16" t="s">
        <v>52</v>
      </c>
      <c r="N3" s="16" t="s">
        <v>53</v>
      </c>
      <c r="O3" s="15" t="s">
        <v>120</v>
      </c>
    </row>
    <row r="4" customFormat="false" ht="15" hidden="false" customHeight="false" outlineLevel="0" collapsed="false">
      <c r="B4" s="19" t="s">
        <v>121</v>
      </c>
      <c r="C4" s="21" t="n">
        <v>5000000</v>
      </c>
      <c r="D4" s="46" t="n">
        <f aca="false">C24</f>
        <v>6100000</v>
      </c>
      <c r="E4" s="46" t="n">
        <f aca="false">D24</f>
        <v>6100000</v>
      </c>
      <c r="F4" s="46" t="n">
        <f aca="false">E24</f>
        <v>6100000</v>
      </c>
      <c r="G4" s="46" t="n">
        <f aca="false">F24</f>
        <v>6100000</v>
      </c>
      <c r="H4" s="46" t="n">
        <f aca="false">G24</f>
        <v>6100000</v>
      </c>
      <c r="I4" s="46" t="n">
        <f aca="false">H24</f>
        <v>6100000</v>
      </c>
      <c r="J4" s="46" t="n">
        <f aca="false">I24</f>
        <v>6100000</v>
      </c>
      <c r="K4" s="46" t="n">
        <f aca="false">J24</f>
        <v>6100000</v>
      </c>
      <c r="L4" s="46" t="n">
        <f aca="false">K24</f>
        <v>6100000</v>
      </c>
      <c r="M4" s="46" t="n">
        <f aca="false">L24</f>
        <v>6100000</v>
      </c>
      <c r="N4" s="46" t="n">
        <f aca="false">M24</f>
        <v>6100000</v>
      </c>
      <c r="O4" s="22" t="n">
        <f aca="false">C4</f>
        <v>5000000</v>
      </c>
    </row>
    <row r="5" customFormat="false" ht="15" hidden="false" customHeight="false" outlineLevel="0" collapsed="false">
      <c r="B5" s="17" t="s">
        <v>122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customFormat="false" ht="15" hidden="false" customHeight="false" outlineLevel="0" collapsed="false">
      <c r="B6" s="19" t="s">
        <v>123</v>
      </c>
      <c r="C6" s="21" t="n">
        <v>3000000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 t="n">
        <f aca="false">SUM(C6:N6)</f>
        <v>3000000</v>
      </c>
    </row>
    <row r="7" customFormat="false" ht="15" hidden="false" customHeight="false" outlineLevel="0" collapsed="false">
      <c r="B7" s="19" t="s">
        <v>124</v>
      </c>
      <c r="C7" s="21" t="n">
        <v>5500000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2" t="n">
        <f aca="false">SUM(C7:N7)</f>
        <v>5500000</v>
      </c>
    </row>
    <row r="8" customFormat="false" ht="15" hidden="false" customHeight="false" outlineLevel="0" collapsed="false">
      <c r="B8" s="19" t="s">
        <v>125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 t="n">
        <f aca="false">SUM(C8:N8)</f>
        <v>0</v>
      </c>
    </row>
    <row r="9" customFormat="false" ht="15" hidden="false" customHeight="false" outlineLevel="0" collapsed="false">
      <c r="B9" s="19" t="s">
        <v>126</v>
      </c>
      <c r="C9" s="22" t="n">
        <f aca="false">SUM(C6:C8)</f>
        <v>8500000</v>
      </c>
      <c r="D9" s="22" t="n">
        <f aca="false">SUM(D6:D8)</f>
        <v>0</v>
      </c>
      <c r="E9" s="22" t="n">
        <f aca="false">SUM(E6:E8)</f>
        <v>0</v>
      </c>
      <c r="F9" s="22" t="n">
        <f aca="false">SUM(F6:F8)</f>
        <v>0</v>
      </c>
      <c r="G9" s="22" t="n">
        <f aca="false">SUM(G6:G8)</f>
        <v>0</v>
      </c>
      <c r="H9" s="22" t="n">
        <f aca="false">SUM(H6:H8)</f>
        <v>0</v>
      </c>
      <c r="I9" s="22" t="n">
        <f aca="false">SUM(I6:I8)</f>
        <v>0</v>
      </c>
      <c r="J9" s="22" t="n">
        <f aca="false">SUM(J6:J8)</f>
        <v>0</v>
      </c>
      <c r="K9" s="22" t="n">
        <f aca="false">SUM(K6:K8)</f>
        <v>0</v>
      </c>
      <c r="L9" s="22" t="n">
        <f aca="false">SUM(L6:L8)</f>
        <v>0</v>
      </c>
      <c r="M9" s="22" t="n">
        <f aca="false">SUM(M6:M8)</f>
        <v>0</v>
      </c>
      <c r="N9" s="22" t="n">
        <f aca="false">SUM(N6:N8)</f>
        <v>0</v>
      </c>
      <c r="O9" s="22" t="n">
        <f aca="false">SUM(C9:N9)</f>
        <v>8500000</v>
      </c>
    </row>
    <row r="10" customFormat="false" ht="15" hidden="false" customHeight="false" outlineLevel="0" collapsed="false">
      <c r="B10" s="17" t="s">
        <v>127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customFormat="false" ht="15" hidden="false" customHeight="false" outlineLevel="0" collapsed="false">
      <c r="B11" s="19" t="s">
        <v>128</v>
      </c>
      <c r="C11" s="21" t="n">
        <v>2500000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 t="n">
        <f aca="false">SUM(C11:N11)</f>
        <v>2500000</v>
      </c>
    </row>
    <row r="12" customFormat="false" ht="15" hidden="false" customHeight="false" outlineLevel="0" collapsed="false">
      <c r="B12" s="19" t="s">
        <v>129</v>
      </c>
      <c r="C12" s="21" t="n">
        <v>3500000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 t="n">
        <f aca="false">SUM(C12:N12)</f>
        <v>3500000</v>
      </c>
    </row>
    <row r="13" customFormat="false" ht="15" hidden="false" customHeight="false" outlineLevel="0" collapsed="false">
      <c r="B13" s="19" t="s">
        <v>130</v>
      </c>
      <c r="C13" s="21" t="n">
        <v>600000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 t="n">
        <f aca="false">SUM(C13:N13)</f>
        <v>600000</v>
      </c>
    </row>
    <row r="14" customFormat="false" ht="15" hidden="false" customHeight="false" outlineLevel="0" collapsed="false">
      <c r="B14" s="19" t="s">
        <v>131</v>
      </c>
      <c r="C14" s="21" t="n">
        <v>800000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 t="n">
        <f aca="false">SUM(C14:N14)</f>
        <v>800000</v>
      </c>
    </row>
    <row r="15" customFormat="false" ht="15" hidden="false" customHeight="false" outlineLevel="0" collapsed="false">
      <c r="B15" s="19" t="s">
        <v>132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 t="n">
        <f aca="false">SUM(C15:N15)</f>
        <v>0</v>
      </c>
    </row>
    <row r="16" customFormat="false" ht="15" hidden="false" customHeight="false" outlineLevel="0" collapsed="false">
      <c r="B16" s="19" t="s">
        <v>133</v>
      </c>
      <c r="C16" s="22" t="n">
        <f aca="false">SUM(C11:C15)</f>
        <v>7400000</v>
      </c>
      <c r="D16" s="22" t="n">
        <f aca="false">SUM(D11:D15)</f>
        <v>0</v>
      </c>
      <c r="E16" s="22" t="n">
        <f aca="false">SUM(E11:E15)</f>
        <v>0</v>
      </c>
      <c r="F16" s="22" t="n">
        <f aca="false">SUM(F11:F15)</f>
        <v>0</v>
      </c>
      <c r="G16" s="22" t="n">
        <f aca="false">SUM(G11:G15)</f>
        <v>0</v>
      </c>
      <c r="H16" s="22" t="n">
        <f aca="false">SUM(H11:H15)</f>
        <v>0</v>
      </c>
      <c r="I16" s="22" t="n">
        <f aca="false">SUM(I11:I15)</f>
        <v>0</v>
      </c>
      <c r="J16" s="22" t="n">
        <f aca="false">SUM(J11:J15)</f>
        <v>0</v>
      </c>
      <c r="K16" s="22" t="n">
        <f aca="false">SUM(K11:K15)</f>
        <v>0</v>
      </c>
      <c r="L16" s="22" t="n">
        <f aca="false">SUM(L11:L15)</f>
        <v>0</v>
      </c>
      <c r="M16" s="22" t="n">
        <f aca="false">SUM(M11:M15)</f>
        <v>0</v>
      </c>
      <c r="N16" s="22" t="n">
        <f aca="false">SUM(N11:N15)</f>
        <v>0</v>
      </c>
      <c r="O16" s="22" t="n">
        <f aca="false">SUM(C16:N16)</f>
        <v>7400000</v>
      </c>
    </row>
    <row r="17" customFormat="false" ht="15" hidden="false" customHeight="false" outlineLevel="0" collapsed="false">
      <c r="B17" s="19" t="s">
        <v>134</v>
      </c>
      <c r="C17" s="47" t="n">
        <f aca="false">C9-C16</f>
        <v>1100000</v>
      </c>
      <c r="D17" s="47" t="n">
        <f aca="false">D9-D16</f>
        <v>0</v>
      </c>
      <c r="E17" s="47" t="n">
        <f aca="false">E9-E16</f>
        <v>0</v>
      </c>
      <c r="F17" s="47" t="n">
        <f aca="false">F9-F16</f>
        <v>0</v>
      </c>
      <c r="G17" s="47" t="n">
        <f aca="false">G9-G16</f>
        <v>0</v>
      </c>
      <c r="H17" s="47" t="n">
        <f aca="false">H9-H16</f>
        <v>0</v>
      </c>
      <c r="I17" s="47" t="n">
        <f aca="false">I9-I16</f>
        <v>0</v>
      </c>
      <c r="J17" s="47" t="n">
        <f aca="false">J9-J16</f>
        <v>0</v>
      </c>
      <c r="K17" s="47" t="n">
        <f aca="false">K9-K16</f>
        <v>0</v>
      </c>
      <c r="L17" s="47" t="n">
        <f aca="false">L9-L16</f>
        <v>0</v>
      </c>
      <c r="M17" s="47" t="n">
        <f aca="false">M9-M16</f>
        <v>0</v>
      </c>
      <c r="N17" s="47" t="n">
        <f aca="false">N9-N16</f>
        <v>0</v>
      </c>
      <c r="O17" s="22" t="n">
        <f aca="false">SUM(C17:N17)</f>
        <v>1100000</v>
      </c>
    </row>
    <row r="18" customFormat="false" ht="15" hidden="false" customHeight="false" outlineLevel="0" collapsed="false">
      <c r="B18" s="17" t="s">
        <v>135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customFormat="false" ht="15" hidden="false" customHeight="false" outlineLevel="0" collapsed="false">
      <c r="B19" s="19" t="s">
        <v>136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 t="n">
        <f aca="false">SUM(C19:N19)</f>
        <v>0</v>
      </c>
    </row>
    <row r="20" customFormat="false" ht="15" hidden="false" customHeight="false" outlineLevel="0" collapsed="false">
      <c r="B20" s="19" t="s">
        <v>137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 t="n">
        <f aca="false">SUM(C20:N20)</f>
        <v>0</v>
      </c>
    </row>
    <row r="21" customFormat="false" ht="15" hidden="false" customHeight="false" outlineLevel="0" collapsed="false">
      <c r="B21" s="19" t="s">
        <v>138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 t="n">
        <f aca="false">SUM(C21:N21)</f>
        <v>0</v>
      </c>
    </row>
    <row r="22" customFormat="false" ht="15" hidden="false" customHeight="false" outlineLevel="0" collapsed="false">
      <c r="B22" s="19" t="s">
        <v>139</v>
      </c>
      <c r="C22" s="47" t="n">
        <f aca="false">C19-C20-C21</f>
        <v>0</v>
      </c>
      <c r="D22" s="47" t="n">
        <f aca="false">D19-D20-D21</f>
        <v>0</v>
      </c>
      <c r="E22" s="47" t="n">
        <f aca="false">E19-E20-E21</f>
        <v>0</v>
      </c>
      <c r="F22" s="47" t="n">
        <f aca="false">F19-F20-F21</f>
        <v>0</v>
      </c>
      <c r="G22" s="47" t="n">
        <f aca="false">G19-G20-G21</f>
        <v>0</v>
      </c>
      <c r="H22" s="47" t="n">
        <f aca="false">H19-H20-H21</f>
        <v>0</v>
      </c>
      <c r="I22" s="47" t="n">
        <f aca="false">I19-I20-I21</f>
        <v>0</v>
      </c>
      <c r="J22" s="47" t="n">
        <f aca="false">J19-J20-J21</f>
        <v>0</v>
      </c>
      <c r="K22" s="47" t="n">
        <f aca="false">K19-K20-K21</f>
        <v>0</v>
      </c>
      <c r="L22" s="47" t="n">
        <f aca="false">L19-L20-L21</f>
        <v>0</v>
      </c>
      <c r="M22" s="47" t="n">
        <f aca="false">M19-M20-M21</f>
        <v>0</v>
      </c>
      <c r="N22" s="47" t="n">
        <f aca="false">N19-N20-N21</f>
        <v>0</v>
      </c>
      <c r="O22" s="22" t="n">
        <f aca="false">SUM(C22:N22)</f>
        <v>0</v>
      </c>
    </row>
    <row r="23" customFormat="false" ht="15" hidden="false" customHeight="false" outlineLevel="0" collapsed="false">
      <c r="B23" s="19" t="s">
        <v>140</v>
      </c>
      <c r="C23" s="22" t="n">
        <f aca="false">C17+C22</f>
        <v>1100000</v>
      </c>
      <c r="D23" s="22" t="n">
        <f aca="false">D17+D22</f>
        <v>0</v>
      </c>
      <c r="E23" s="22" t="n">
        <f aca="false">E17+E22</f>
        <v>0</v>
      </c>
      <c r="F23" s="22" t="n">
        <f aca="false">F17+F22</f>
        <v>0</v>
      </c>
      <c r="G23" s="22" t="n">
        <f aca="false">G17+G22</f>
        <v>0</v>
      </c>
      <c r="H23" s="22" t="n">
        <f aca="false">H17+H22</f>
        <v>0</v>
      </c>
      <c r="I23" s="22" t="n">
        <f aca="false">I17+I22</f>
        <v>0</v>
      </c>
      <c r="J23" s="22" t="n">
        <f aca="false">J17+J22</f>
        <v>0</v>
      </c>
      <c r="K23" s="22" t="n">
        <f aca="false">K17+K22</f>
        <v>0</v>
      </c>
      <c r="L23" s="22" t="n">
        <f aca="false">L17+L22</f>
        <v>0</v>
      </c>
      <c r="M23" s="22" t="n">
        <f aca="false">M17+M22</f>
        <v>0</v>
      </c>
      <c r="N23" s="22" t="n">
        <f aca="false">N17+N22</f>
        <v>0</v>
      </c>
      <c r="O23" s="22" t="n">
        <f aca="false">SUM(C23:N23)</f>
        <v>1100000</v>
      </c>
    </row>
    <row r="24" customFormat="false" ht="15" hidden="false" customHeight="false" outlineLevel="0" collapsed="false">
      <c r="B24" s="19" t="s">
        <v>141</v>
      </c>
      <c r="C24" s="48" t="n">
        <f aca="false">C4+C23</f>
        <v>6100000</v>
      </c>
      <c r="D24" s="48" t="n">
        <f aca="false">D4+D23</f>
        <v>6100000</v>
      </c>
      <c r="E24" s="48" t="n">
        <f aca="false">E4+E23</f>
        <v>6100000</v>
      </c>
      <c r="F24" s="48" t="n">
        <f aca="false">F4+F23</f>
        <v>6100000</v>
      </c>
      <c r="G24" s="48" t="n">
        <f aca="false">G4+G23</f>
        <v>6100000</v>
      </c>
      <c r="H24" s="48" t="n">
        <f aca="false">H4+H23</f>
        <v>6100000</v>
      </c>
      <c r="I24" s="48" t="n">
        <f aca="false">I4+I23</f>
        <v>6100000</v>
      </c>
      <c r="J24" s="48" t="n">
        <f aca="false">J4+J23</f>
        <v>6100000</v>
      </c>
      <c r="K24" s="48" t="n">
        <f aca="false">K4+K23</f>
        <v>6100000</v>
      </c>
      <c r="L24" s="48" t="n">
        <f aca="false">L4+L23</f>
        <v>6100000</v>
      </c>
      <c r="M24" s="48" t="n">
        <f aca="false">M4+M23</f>
        <v>6100000</v>
      </c>
      <c r="N24" s="48" t="n">
        <f aca="false">N4+N23</f>
        <v>6100000</v>
      </c>
      <c r="O24" s="48" t="n">
        <f aca="false">N24</f>
        <v>6100000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27" t="s">
        <v>142</v>
      </c>
    </row>
    <row r="2" customFormat="false" ht="15" hidden="false" customHeight="false" outlineLevel="0" collapsed="false">
      <c r="A2" s="14" t="s">
        <v>143</v>
      </c>
    </row>
    <row r="3" customFormat="false" ht="15" hidden="false" customHeight="false" outlineLevel="0" collapsed="false">
      <c r="A3" s="15" t="s">
        <v>144</v>
      </c>
      <c r="B3" s="15" t="s">
        <v>145</v>
      </c>
      <c r="C3" s="15" t="s">
        <v>146</v>
      </c>
      <c r="D3" s="15" t="s">
        <v>147</v>
      </c>
      <c r="E3" s="15" t="s">
        <v>148</v>
      </c>
      <c r="F3" s="15" t="s">
        <v>149</v>
      </c>
      <c r="G3" s="15" t="s">
        <v>150</v>
      </c>
    </row>
    <row r="4" customFormat="false" ht="28.35" hidden="false" customHeight="false" outlineLevel="0" collapsed="false">
      <c r="A4" s="19" t="s">
        <v>151</v>
      </c>
      <c r="B4" s="49" t="s">
        <v>152</v>
      </c>
      <c r="C4" s="38"/>
      <c r="D4" s="50" t="s">
        <v>153</v>
      </c>
      <c r="E4" s="51" t="n">
        <v>0.4</v>
      </c>
      <c r="F4" s="38" t="s">
        <v>154</v>
      </c>
      <c r="G4" s="49" t="s">
        <v>155</v>
      </c>
    </row>
    <row r="5" customFormat="false" ht="15" hidden="false" customHeight="false" outlineLevel="0" collapsed="false">
      <c r="A5" s="19" t="s">
        <v>151</v>
      </c>
      <c r="B5" s="49" t="s">
        <v>156</v>
      </c>
      <c r="C5" s="38"/>
      <c r="D5" s="50" t="s">
        <v>157</v>
      </c>
      <c r="E5" s="51" t="n">
        <v>0</v>
      </c>
      <c r="F5" s="38" t="s">
        <v>158</v>
      </c>
      <c r="G5" s="39"/>
    </row>
    <row r="6" customFormat="false" ht="15" hidden="false" customHeight="false" outlineLevel="0" collapsed="false">
      <c r="A6" s="19" t="s">
        <v>159</v>
      </c>
      <c r="B6" s="49" t="s">
        <v>160</v>
      </c>
      <c r="C6" s="38"/>
      <c r="D6" s="50" t="s">
        <v>157</v>
      </c>
      <c r="E6" s="51" t="n">
        <v>0</v>
      </c>
      <c r="F6" s="38" t="s">
        <v>161</v>
      </c>
      <c r="G6" s="39"/>
    </row>
    <row r="7" customFormat="false" ht="15" hidden="false" customHeight="false" outlineLevel="0" collapsed="false">
      <c r="A7" s="19" t="s">
        <v>162</v>
      </c>
      <c r="B7" s="49" t="s">
        <v>163</v>
      </c>
      <c r="C7" s="38"/>
      <c r="D7" s="50" t="s">
        <v>153</v>
      </c>
      <c r="E7" s="51" t="n">
        <v>0.3</v>
      </c>
      <c r="F7" s="38" t="s">
        <v>164</v>
      </c>
      <c r="G7" s="49" t="s">
        <v>165</v>
      </c>
    </row>
    <row r="8" customFormat="false" ht="15" hidden="false" customHeight="false" outlineLevel="0" collapsed="false">
      <c r="A8" s="19" t="s">
        <v>162</v>
      </c>
      <c r="B8" s="49" t="s">
        <v>166</v>
      </c>
      <c r="C8" s="38"/>
      <c r="D8" s="50" t="s">
        <v>167</v>
      </c>
      <c r="E8" s="51" t="n">
        <v>1</v>
      </c>
      <c r="F8" s="38" t="s">
        <v>168</v>
      </c>
      <c r="G8" s="49" t="s">
        <v>169</v>
      </c>
    </row>
    <row r="9" customFormat="false" ht="15" hidden="false" customHeight="false" outlineLevel="0" collapsed="false">
      <c r="A9" s="19" t="s">
        <v>170</v>
      </c>
      <c r="B9" s="49" t="s">
        <v>171</v>
      </c>
      <c r="C9" s="38"/>
      <c r="D9" s="50" t="s">
        <v>157</v>
      </c>
      <c r="E9" s="51" t="n">
        <v>0</v>
      </c>
      <c r="F9" s="38" t="s">
        <v>172</v>
      </c>
      <c r="G9" s="49" t="s">
        <v>173</v>
      </c>
    </row>
    <row r="10" customFormat="false" ht="15" hidden="false" customHeight="false" outlineLevel="0" collapsed="false">
      <c r="A10" s="19" t="s">
        <v>170</v>
      </c>
      <c r="B10" s="39" t="s">
        <v>174</v>
      </c>
      <c r="C10" s="38"/>
      <c r="D10" s="50" t="s">
        <v>153</v>
      </c>
      <c r="E10" s="51" t="n">
        <v>0.2</v>
      </c>
      <c r="F10" s="38" t="s">
        <v>161</v>
      </c>
      <c r="G10" s="39"/>
    </row>
    <row r="11" customFormat="false" ht="15" hidden="false" customHeight="false" outlineLevel="0" collapsed="false">
      <c r="A11" s="19" t="s">
        <v>175</v>
      </c>
      <c r="B11" s="49" t="s">
        <v>176</v>
      </c>
      <c r="C11" s="38"/>
      <c r="D11" s="50" t="s">
        <v>153</v>
      </c>
      <c r="E11" s="51" t="n">
        <v>0.5</v>
      </c>
      <c r="F11" s="38" t="s">
        <v>177</v>
      </c>
      <c r="G11" s="49" t="s">
        <v>178</v>
      </c>
    </row>
    <row r="12" customFormat="false" ht="15" hidden="false" customHeight="false" outlineLevel="0" collapsed="false">
      <c r="A12" s="39"/>
      <c r="B12" s="39"/>
      <c r="C12" s="38"/>
      <c r="D12" s="50"/>
      <c r="E12" s="51"/>
      <c r="F12" s="38"/>
      <c r="G12" s="39"/>
    </row>
    <row r="13" customFormat="false" ht="15" hidden="false" customHeight="false" outlineLevel="0" collapsed="false">
      <c r="A13" s="39"/>
      <c r="B13" s="39"/>
      <c r="C13" s="38"/>
      <c r="D13" s="50"/>
      <c r="E13" s="51"/>
      <c r="F13" s="38"/>
      <c r="G13" s="39"/>
    </row>
    <row r="14" customFormat="false" ht="15" hidden="false" customHeight="false" outlineLevel="0" collapsed="false">
      <c r="A14" s="39"/>
      <c r="B14" s="39"/>
      <c r="C14" s="38"/>
      <c r="D14" s="50"/>
      <c r="E14" s="51"/>
      <c r="F14" s="38"/>
      <c r="G14" s="39"/>
    </row>
    <row r="15" customFormat="false" ht="15" hidden="false" customHeight="false" outlineLevel="0" collapsed="false">
      <c r="A15" s="39"/>
      <c r="B15" s="39"/>
      <c r="C15" s="38"/>
      <c r="D15" s="50"/>
      <c r="E15" s="51"/>
      <c r="F15" s="38"/>
      <c r="G15" s="39"/>
    </row>
    <row r="16" customFormat="false" ht="15" hidden="false" customHeight="false" outlineLevel="0" collapsed="false">
      <c r="A16" s="39"/>
      <c r="B16" s="39"/>
      <c r="C16" s="38"/>
      <c r="D16" s="50"/>
      <c r="E16" s="51"/>
      <c r="F16" s="38"/>
      <c r="G16" s="39"/>
    </row>
    <row r="17" customFormat="false" ht="15" hidden="false" customHeight="false" outlineLevel="0" collapsed="false">
      <c r="A17" s="39"/>
      <c r="B17" s="39"/>
      <c r="C17" s="38"/>
      <c r="D17" s="50"/>
      <c r="E17" s="51"/>
      <c r="F17" s="38"/>
      <c r="G17" s="39"/>
    </row>
    <row r="19" customFormat="false" ht="15" hidden="false" customHeight="false" outlineLevel="0" collapsed="false">
      <c r="A19" s="52" t="s">
        <v>179</v>
      </c>
      <c r="E19" s="45" t="n">
        <f aca="false">IFERROR(AVERAGE(E4:E17),0)</f>
        <v>0.3</v>
      </c>
    </row>
    <row r="20" customFormat="false" ht="15" hidden="false" customHeight="false" outlineLevel="0" collapsed="false">
      <c r="A20" s="52" t="s">
        <v>180</v>
      </c>
      <c r="E20" s="7" t="n">
        <f aca="false">COUNTIF(D4:D17,"完了")</f>
        <v>1</v>
      </c>
    </row>
  </sheetData>
  <dataValidations count="1">
    <dataValidation allowBlank="true" errorStyle="stop" operator="between" showDropDown="false" showErrorMessage="false" showInputMessage="false" sqref="D4:D17" type="list">
      <formula1>"未着手,進行中,完了,保留"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2026-09-06T06:48:08Z</dcterms:created>
  <dc:creator>openpyxl</dc:creator>
  <dc:description/>
  <dc:language>en-US</dc:language>
  <cp:lastModifiedBy/>
  <dcterms:modified xsi:type="dcterms:W3CDTF">2026-09-06T06:48:09Z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